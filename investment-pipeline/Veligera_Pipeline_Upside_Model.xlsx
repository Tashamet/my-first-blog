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  <sheet name="Lambd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<sst xmlns="http://schemas.openxmlformats.org/spreadsheetml/2006/main" count="1327" uniqueCount="421">
  <si>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</si>
  <si>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</si>
  <si>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</si>
  <si>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</si>
  <si>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</si>
  <si>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</si>
  <si>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</si>
  <si>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</si>
  <si>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</si>
  <si>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</si>
  <si>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</si>
  <si>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</si>
  <si>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</si>
  <si>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</si>
  <si>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</si>
  <si>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</si>
  <si>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</si>
  <si>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</si>
  <si>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</si>
  <si>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</si>
  <si>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</si>
  <si>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</si>
  <si>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</si>
  <si>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</si>
  <si>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</si>
  <si>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</si>
  <si>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</si>
  <si>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</si>
  <si>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</si>
  <si>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</si>
  <si>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</si>
  <si>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</si>
  <si>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</si>
  <si>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</si>
  <si>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</si>
  <si>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</si>
  <si>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</si>
  <si>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</si>
  <si>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</si>
  <si>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</si>
  <si>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</si>
  <si>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</si>
  <si>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</si>
  <si>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</si>
  <si>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</si>
  <si>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</si>
  <si>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</si>
  <si>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</si>
  <si>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</si>
  <si>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</si>
  <si>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</si>
  <si>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</si>
  <si>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</si>
  <si>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</si>
  <si>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</si>
  <si>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</si>
  <si>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</si>
  <si>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</si>
  <si>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</si>
  <si>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</si>
  <si>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 (Alphabet / Google)</t>
  </si>
  <si>
    <t xml:space="preserve">Раунд $16 млрд, объявлен 02.02.2026; лиды Dragoneer, DST Global, Sequoia; Alphabet вложила ~$13 млрд</t>
  </si>
  <si>
    <t xml:space="preserve">3 года (IPO / спин-офф 2029)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</si>
  <si>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</si>
  <si>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</si>
  <si>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</si>
  <si>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2 года (IPO 2028)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</si>
  <si>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</si>
  <si>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</si>
  <si>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</si>
  <si>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1.5–2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</si>
  <si>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</si>
  <si>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</si>
  <si>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</si>
  <si>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3–4 года (IPO / M&amp;A 2030)</t>
  </si>
  <si>
    <t xml:space="preserve">Lambda</t>
  </si>
  <si>
    <t xml:space="preserve">GPU-облако для ИИ</t>
  </si>
  <si>
    <t xml:space="preserve">Series E более $1.5 млрд, закрыт 18.11.2025; лид TWG Global совместно с US Innovative Technology Fund</t>
  </si>
  <si>
    <t xml:space="preserve">1.5 года (IPO 2027)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</si>
  <si>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</si>
  <si>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</si>
  <si>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</si>
  <si>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</si>
  <si>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</si>
  <si>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</si>
  <si>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</si>
  <si>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</si>
  <si>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</si>
  <si>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</si>
  <si>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</si>
  <si>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</si>
  <si>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</si>
  <si>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</si>
  <si>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</si>
  <si>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</si>
  <si>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</si>
  <si>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</si>
  <si>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</si>
  <si>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</si>
  <si>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</si>
  <si>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</si>
  <si>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</si>
  <si>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</si>
  <si>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</si>
  <si>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</si>
  <si>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</si>
  <si>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</si>
  <si>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</si>
  <si>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</si>
  <si>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</si>
  <si>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</si>
  <si>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</si>
  <si>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</si>
  <si>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</si>
  <si>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</si>
  <si>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</si>
  <si>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</si>
  <si>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</si>
  <si>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</si>
  <si>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</si>
  <si>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</si>
  <si>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</si>
  <si>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</si>
  <si>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</si>
  <si>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</si>
  <si>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</si>
  <si>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</si>
  <si>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</si>
  <si>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</si>
  <si>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</si>
  <si>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</si>
  <si>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</si>
  <si>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</si>
  <si>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</si>
  <si>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</si>
  <si>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</si>
  <si>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</si>
  <si>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</si>
  <si>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</si>
  <si>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</si>
  <si>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</si>
  <si>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</si>
  <si>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</si>
  <si>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</si>
  <si>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</si>
  <si>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</si>
  <si>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</si>
  <si>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</si>
  <si>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</si>
  <si>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</si>
  <si>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</si>
  <si>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</si>
  <si>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</si>
  <si>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</si>
  <si>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</si>
  <si>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</si>
  <si>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</si>
  <si>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</si>
  <si>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</si>
  <si>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</si>
  <si>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</si>
  <si>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</si>
  <si>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</si>
  <si>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</si>
  <si>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</si>
  <si>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</si>
  <si>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</si>
  <si>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</si>
  <si>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</si>
  <si>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</si>
  <si>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</si>
  <si>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</si>
  <si>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</si>
  <si>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</si>
  <si>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</si>
  <si>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</si>
  <si>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</si>
  <si>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</si>
  <si>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</si>
  <si>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</si>
  <si>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</si>
  <si>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</si>
  <si>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</si>
  <si>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</si>
  <si>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</si>
  <si>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</si>
  <si>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</si>
  <si>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</si>
  <si>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</si>
  <si>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</si>
  <si>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</si>
  <si>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</si>
  <si>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</si>
  <si>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</si>
  <si>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</si>
  <si>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</si>
  <si>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</si>
  <si>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</si>
  <si>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</si>
  <si>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</si>
  <si>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</si>
  <si>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</si>
  <si>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</si>
  <si>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</si>
  <si>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</si>
  <si>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</si>
  <si>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</si>
  <si>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</si>
  <si>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</si>
  <si>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</si>
  <si>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</si>
  <si>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</si>
  <si>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</si>
  <si>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</si>
  <si>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</si>
  <si>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</si>
  <si>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</si>
  <si>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</si>
  <si>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</si>
  <si>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</si>
  <si>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</si>
  <si>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</si>
  <si>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</si>
  <si>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</si>
  <si>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</si>
  <si>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</si>
  <si>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</si>
  <si>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</si>
  <si>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</si>
  <si>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</si>
  <si>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</si>
  <si>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</si>
  <si>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</si>
  <si>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</si>
  <si>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</si>
  <si>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</si>
  <si>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</si>
  <si>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</si>
  <si>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</si>
  <si>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</si>
  <si>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</si>
  <si>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</si>
  <si>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</si>
  <si>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</si>
  <si>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</si>
  <si>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</si>
  <si>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</si>
  <si>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</si>
  <si>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</si>
  <si>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</si>
  <si>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</si>
  <si>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</si>
  <si>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</si>
  <si>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</si>
  <si>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</si>
  <si>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</si>
  <si>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</si>
  <si>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</si>
  <si>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</si>
  <si>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</si>
  <si>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</si>
  <si>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</si>
  <si>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</si>
  <si>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</si>
  <si>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</si>
  <si>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</si>
  <si>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</si>
  <si>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</si>
  <si>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</si>
  <si>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</si>
  <si>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</si>
  <si>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</si>
  <si>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</si>
  <si>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</si>
  <si>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</si>
  <si>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</si>
  <si>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</si>
  <si>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</si>
  <si>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</si>
  <si>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</si>
  <si>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</si>
  <si>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</si>
  <si>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</si>
  <si>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</si>
  <si>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</si>
  <si>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</si>
  <si>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</si>
  <si>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</si>
  <si>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</si>
  <si>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</si>
  <si>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</si>
  <si>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</si>
  <si>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</si>
  <si>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</si>
  <si>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</si>
  <si>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</si>
  <si>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</si>
  <si>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</si>
  <si>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</si>
  <si>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</si>
  <si>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</si>
  <si>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</si>
  <si>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</si>
  <si>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Индикативный диапазон фонда. Подтверждённых закрытых сделок нет: расчётные оценки площадок расходятся в 2.4 раза ($152 / $215 / $364 за акцию), нижняя из них соответствует примерно этому уровню. К оценке раунда ($126 млрд) диапазон соответствует премии 19–23%.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</si>
  <si>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</si>
  <si>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</si>
  <si>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</si>
  <si>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</si>
  <si>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</si>
  <si>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</si>
  <si>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</si>
  <si>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20% рынка ride-hailing США</t>
  </si>
  <si>
    <t xml:space="preserve">Середина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</si>
  <si>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</si>
  <si>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</si>
  <si>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</si>
  <si>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</si>
  <si>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</si>
  <si>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</si>
  <si>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</si>
  <si>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</si>
  <si>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</si>
  <si>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</si>
  <si>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Индикативный диапазон фонда; к оценке раунда ($5 млрд) соответствует премии 18–24%. Публичных котировок нет: компания листингуется на EquityZen и Hiive, но цены за пейволлом.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</si>
  <si>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</si>
  <si>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</si>
  <si>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</si>
  <si>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</si>
  <si>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</si>
  <si>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</si>
  <si>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По презентации компании (метрики на сентябрь 2025): годовая выручка ARR $504 млн, валовый кредитный портфель $660 млн, 2.6 млн активных клиентов при доле активных около 90%, рост выручки +233% и портфеля +241% г/г. Юнит-экономика: CAC $3.5, LTV $243, чистая прибыль на клиента после OPEX и фондирования $70, чистая маржа 45%. Данные компании, публично не аудированы. Базовый сценарий: рост выручки примерно втрое к 2028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</si>
  <si>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</si>
  <si>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выше публичного ориентира основателей (~$10 млрд) на достигнутой прибыльности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</si>
  <si>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</si>
  <si>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Capital. РАСХОЖДЕНИЕ С ПРЕЗЕНТАЦИЕЙ КОМПАНИИ: в ней Series C датирована февралём 2026, объём $200–300 млн, оценка $5 млрд указана как PRE-money. Перед сделкой уточнить окончательные параметры раунда</t>
  </si>
  <si>
    <t xml:space="preserve">• Раунды по презентации: Seed $272 млн @ $317 млн (Baring Ventures, июль 2022), Seed follow-on $8 млн @ $708 млн (август 2024), Series A $190 млн @ $1 489 млн (Kora, март 2025), Series B $93 млн @ $3 093 млн (Kora, октябрь 2025). Всего привлечено $563 млн</t>
  </si>
  <si>
    <t xml:space="preserve">• Сравнение с Nubank Mexico на сопоставимом этапе (презентация): 3-й год работы — 2.8 млн активных клиентов против 1.4 млн; доход на клиента $231 против $107; чистая процентная маржа 20% против 3%; кредитный портфель $4.7 млрд против $0.9 млрд</t>
  </si>
  <si>
    <t xml:space="preserve">• Рынок по презентации: TAM $176 млрд, SAM 2030 $150 млрд, текущий доступный рынок $36 млрд; 63% взрослого населения не имеет доступа к кредитным продуктам</t>
  </si>
  <si>
    <t xml:space="preserve">• ВНИМАНИЕ по презентации: стоимость риска по IFRS 30.2% LTM и стоимость фондирования 22.3% LTM. Прогноз компании на 2030 год — снижение до 17.1% и 6.8% соответственно; это ключевое допущение всей модели роста</t>
  </si>
  <si>
    <t xml:space="preserve">• Команда: Нери Толлардо (CEO, ранее директор по стратегии Тинькофф банка, Morgan Stanley), Даниил Анисимов (CBO, ранее розничный банкинг Тинькофф), Андрей Шелехин (CTO, ранее IT-департамент Тинькофф), Надежда Шульга (CRO, Сбер, OTP, Citi)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</si>
  <si>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</si>
  <si>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</si>
  <si>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</si>
  <si>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</si>
  <si>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</si>
  <si>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</si>
  <si>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</si>
  <si>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</si>
  <si>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</si>
  <si>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Индикативный диапазон фонда. Он НИЖЕ оценки закрытого раунда ($35 млрд) на 14–26%: дисконт отражает нерешённый механизм переноса прав зарубежных акционеров при демонтаже структуры VIE и ограничения на участие инвесторов из США. Ликвидного вторичного рынка нет, официальных котировок не существует (Forge показывает оценку $800 млн при реальных $35 млрд). Для справки: идущий pre-IPO раунд обсуждался по pre-money $50 млрд.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</si>
  <si>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</si>
  <si>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</si>
  <si>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</si>
  <si>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</si>
  <si>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</si>
  <si>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</si>
  <si>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</si>
  <si>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</si>
  <si>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</si>
  <si>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Механизм переноса прав иностранных акционеров решён не в пользу держателей офшорных долей</t>
  </si>
  <si>
    <t xml:space="preserve">IPO в Гонконге ближе к MiniMax (~$33 млрд), чем к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</si>
  <si>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</si>
  <si>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</si>
  <si>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</si>
  <si>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</si>
  <si>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</si>
  <si>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</si>
  <si>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</si>
  <si>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</si>
  <si>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</si>
  <si>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</si>
  <si>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</si>
  <si>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</si>
  <si>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Индикативный диапазон фонда соответствует уровню оценки раунда плюс 2–11%.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</si>
  <si>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</si>
  <si>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</si>
  <si>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</si>
  <si>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</si>
  <si>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</si>
  <si>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</si>
  <si>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</si>
  <si>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</si>
  <si>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</si>
  <si>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</si>
  <si>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</si>
  <si>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</si>
  <si>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</si>
  <si>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</si>
  <si>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</si>
  <si>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</si>
  <si>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</si>
  <si>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</si>
  <si>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</si>
  <si>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</si>
  <si>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</si>
  <si>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</si>
  <si>
    <t xml:space="preserve">Диапазон — фактические котировки вторичного рынка. Индикативный диапазон фонда: между оценкой закрытого раунда ноября 2025 ($5.9 млрд, премия 44–53%) и идущим pre-IPO раундом до $3 млрд по оценке от $12 млрд (Bloomberg). Закрытый раунд устарел — подход тот же, что по 1X и Positron. Диапазон ниже обсуждаемой оценки раунда, то есть предполагает вход до её фиксации. Оговорка: оценка $5.9 млрд — расчёт Forge, эмитентом не подтверждена; котировки площадок ($39.32 Forge против $43.16 NPM) не переводятся в оценку без fully diluted share count.</t>
  </si>
  <si>
    <t xml:space="preserve">CoreWeave</t>
  </si>
  <si>
    <t xml:space="preserve">EV/Revenue — главный публичный аналог</t>
  </si>
  <si>
    <t xml:space="preserve">CoreWeave по бэклогу</t>
  </si>
  <si>
    <t xml:space="preserve">EV / законтрактованный бэклог ($95 млрд / $129 млрд)</t>
  </si>
  <si>
    <t xml:space="preserve">Nebius</t>
  </si>
  <si>
    <t xml:space="preserve">EV/ARR</t>
  </si>
  <si>
    <t xml:space="preserve">Together AI</t>
  </si>
  <si>
    <t xml:space="preserve">Выручка: ~$250 млн (2023) → $425 млн (2024) → ~$760 млн (2025) → более $1.5 млрд ожидается по итогам 2026. Вход по середине диапазона соответствует примерно 5.7x прогнозной выручки 2026 года против 9.2x у публичного CoreWeave; идущий раунд от $12 млрд — это около 8x. Базовый сценарий строится на разгоне контракта с Anthropic: $35 млрд за шесть лет дают в среднем около $5.8 млрд выручки в год после ввода площадки, плюс действующая база и контракт с Microsoft. Мультипликатор 5x — с дисконтом к CoreWeave (6–8x на 2026E) за меньший масштаб и более высокую концентрацию клиентов.</t>
  </si>
  <si>
    <t xml:space="preserve">Сдвиг ввода мощностей Beacon Point и продолжение сжатия мультипликаторов сектора</t>
  </si>
  <si>
    <t xml:space="preserve">IPO 2027 при законтрактованном бэклоге около $35 млрд, мультипликатор к бэклогу с большим дисконтом к CoreWeave (0.74x)</t>
  </si>
  <si>
    <t xml:space="preserve">Мультипликатор уровня Nebius при полной загрузке 1 ГВт</t>
  </si>
  <si>
    <t xml:space="preserve">• КЛЮЧЕВОЕ СОБЫТИЕ: 31.08.2026 подписан шестилетний контракт с Anthropic на вычислительные мощности примерно на $35 млрд (WSJ, Bloomberg). Это крупнейшая сделка в истории компании и более чем в 20 раз превышает ожидаемую выручку за 2026 год. Для сравнения: все обязательства OpenAI перед CoreWeave за 2025 год — $22.4 млрд</t>
  </si>
  <si>
    <t xml:space="preserve">• Площадка Beacon Point в Техасе, проектная мощность 1 ГВт. Строит Hut 8 (бывший майнер криптовалюты), арендатор площадки — NVIDIA, Lambda размещает на ней купленные у NVIDIA чипы и продаёт вычисления Anthropic. NVIDIA при этом входит в капитал Lambda</t>
  </si>
  <si>
    <t xml:space="preserve">• IPO НЕ состоялось и заявка публично НЕ подана. Подтверждений конфиденциальной подачи S-1 нет ни в одном первоисточнике — распространённое утверждение восходит к новости о найме Morgan Stanley, J.P. Morgan и Citi (сентябрь 2025). Размещение рассматривается на 2027 год</t>
  </si>
  <si>
    <t xml:space="preserve">• Идущий pre-IPO раунд: до $3 млрд по оценке от $12 млрд (Bloomberg). Две задачи раунда — зафиксировать более высокую оценку перед размещением и профинансировать новые мощности</t>
  </si>
  <si>
    <t xml:space="preserve">• Series E более $1.5 млрд, 18.11.2025, лид TWG Global; post-money около $5.9 млрд — расчёт Forge, эмитентом не подтверждён. Предыдущий раунд: Series D $480 млн @ $2.5 млрд, 19.02.2025</t>
  </si>
  <si>
    <t xml:space="preserve">• Привлечено раздельно: акционерный капитал ~$2.3–2.4 млрд, долг ~$3.4 млрд. Заём на $926 млн под закупку GPU получил рейтинг Moody's Baa2 — инвестиционный уровень, до которого не дотягивал ни один частный неоклауд. Рейтинг допускает к займу пенсионные фонды и страховые компании, то есть расширяет круг кредиторов и удешевляет капитал</t>
  </si>
  <si>
    <t xml:space="preserve">• Выручка: $425 млн (2024) → run-rate $760 млн (конец 2025) → более $1.5 млрд ожидается в 2026. Валовая маржа 1П2025 около 50% (около 61% без продаж железа), убыток TTM около $175 млн</t>
  </si>
  <si>
    <t xml:space="preserve">• Контракт с Microsoft от 03.11.2025 назван многомиллиардным, сумма НЕ раскрыта. Мощность более 320 МВт, заявленная цель — 3 ГВт к 2030 году</t>
  </si>
  <si>
    <t xml:space="preserve">• РИСК 1 — концентрация: после сделки будущее компании определяется одним клиентом. Контракт построен на допущении, что спрос на ИИ будет расти достаточно быстро, чтобы выкупить зарезервированные мощности по зафиксированным ценам</t>
  </si>
  <si>
    <t xml:space="preserve">• РИСК 2 — связанность участников: Hut 8 строит, NVIDIA арендует площадку, поставляет чипы и одновременно является инвестором Lambda. Риски внутри этого круга не независимы</t>
  </si>
  <si>
    <t xml:space="preserve">• РИСК 3 — структура капитала: долг превышает акционерный капитал и обеспечен быстро дешевеющим железом (час H100 подешевел с $7–10 до менее $2–4). Срок амортизации GPU в отрасли не устоялся: Amazon сократил с 6 до 5 лет, CoreWeave держит 6</t>
  </si>
  <si>
    <t xml:space="preserve">• РИСК 4 — сжатие мультипликаторов сектора уже реализовалось: акции CoreWeave выросли втрое после IPO и потеряли 51% от пика к августу 2026 (минус 33% за три месяца)</t>
  </si>
  <si>
    <t xml:space="preserve">• Тезисы преимущества: законтрактованный на годы спрос от Anthropic; инвестиционный рейтинг Baa2 по долгу под залог GPU; статус NVIDIA Exemplar Cloud и четыре года подряд звание партнёра года NVIDIA; self-serve сегмент с маржой 61% против 50% по компании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</si>
</sst>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150</v>
      </c>
      <c r="G16" s="6" t="n">
        <f aca="false">Waymo!B11</f>
        <v>155</v>
      </c>
      <c r="H16" s="6" t="n">
        <f aca="false">Waymo!B12</f>
        <v>152.5</v>
      </c>
      <c r="I16" s="7" t="s">
        <v>62</v>
      </c>
      <c r="J16" s="6" t="n">
        <f aca="false">Waymo!B36</f>
        <v>457.5</v>
      </c>
      <c r="K16" s="8" t="n">
        <f aca="false">Waymo!B37</f>
        <v>3</v>
      </c>
      <c r="L16" s="9" t="n">
        <f aca="false">Waymo!B38</f>
        <v>2</v>
      </c>
      <c r="M16" s="9" t="n">
        <f aca="false">Waymo!B39</f>
        <v>0.442249570307408</v>
      </c>
      <c r="N16" s="8" t="n">
        <f aca="false">Waymo!B40</f>
        <v>0.983606557377049</v>
      </c>
      <c r="O16" s="8" t="n">
        <f aca="false">Waymo!C40</f>
        <v>5.57377049180328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5.9</v>
      </c>
      <c r="G17" s="6" t="n">
        <f aca="false">Plata!B11</f>
        <v>6.2</v>
      </c>
      <c r="H17" s="6" t="n">
        <f aca="false">Plata!B12</f>
        <v>6.05</v>
      </c>
      <c r="I17" s="7" t="s">
        <v>66</v>
      </c>
      <c r="J17" s="6" t="n">
        <f aca="false">Plata!B36</f>
        <v>15.125</v>
      </c>
      <c r="K17" s="8" t="n">
        <f aca="false">Plata!B37</f>
        <v>2.5</v>
      </c>
      <c r="L17" s="9" t="n">
        <f aca="false">Plata!B38</f>
        <v>1.5</v>
      </c>
      <c r="M17" s="9" t="n">
        <f aca="false">Plata!B39</f>
        <v>0.58113883008419</v>
      </c>
      <c r="N17" s="8" t="n">
        <f aca="false">Plata!B40</f>
        <v>0.661157024793388</v>
      </c>
      <c r="O17" s="8" t="n">
        <f aca="false">Plata!C40</f>
        <v>4.29752066115703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26</v>
      </c>
      <c r="G18" s="6" t="n">
        <f aca="false">'Moonshot AI'!B11</f>
        <v>30</v>
      </c>
      <c r="H18" s="6" t="n">
        <f aca="false">'Moonshot AI'!B12</f>
        <v>28</v>
      </c>
      <c r="I18" s="7" t="s">
        <v>70</v>
      </c>
      <c r="J18" s="6" t="n">
        <f aca="false">'Moonshot AI'!B36</f>
        <v>61.6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0.569170385885172</v>
      </c>
      <c r="N18" s="8" t="n">
        <f aca="false">'Moonshot AI'!B40</f>
        <v>0.857142857142857</v>
      </c>
      <c r="O18" s="8" t="n">
        <f aca="false">'Moonshot AI'!C40</f>
        <v>7.5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5.5</v>
      </c>
      <c r="G19" s="6" t="n">
        <f aca="false">Higgsfield!B11</f>
        <v>6</v>
      </c>
      <c r="H19" s="6" t="n">
        <f aca="false">Higgsfield!B12</f>
        <v>5.75</v>
      </c>
      <c r="I19" s="7" t="s">
        <v>74</v>
      </c>
      <c r="J19" s="6" t="n">
        <f aca="false">Higgsfield!B36</f>
        <v>20.7</v>
      </c>
      <c r="K19" s="8" t="n">
        <f aca="false">Higgsfield!B37</f>
        <v>3.6</v>
      </c>
      <c r="L19" s="9" t="n">
        <f aca="false">Higgsfield!B38</f>
        <v>2.6</v>
      </c>
      <c r="M19" s="9" t="n">
        <f aca="false">Higgsfield!B39</f>
        <v>0.441927988088433</v>
      </c>
      <c r="N19" s="8" t="n">
        <f aca="false">Higgsfield!B40</f>
        <v>0.521739130434783</v>
      </c>
      <c r="O19" s="8" t="n">
        <f aca="false">Higgsfield!C40</f>
        <v>9.56521739130435</v>
      </c>
    </row>
    <row r="20" customFormat="false" ht="23.85" hidden="false" customHeight="false" outlineLevel="0" collapsed="false">
      <c r="A20" s="4" t="s">
        <v>75</v>
      </c>
      <c r="B20" s="5" t="s">
        <v>76</v>
      </c>
      <c r="C20" s="5" t="s">
        <v>77</v>
      </c>
      <c r="D20" s="6" t="n">
        <f aca="false">Lambda!B6</f>
        <v>5.9</v>
      </c>
      <c r="E20" s="6" t="n">
        <f aca="false">Lambda!B7</f>
        <v>5.9</v>
      </c>
      <c r="F20" s="6" t="n">
        <f aca="false">Lambda!B10</f>
        <v>8.5</v>
      </c>
      <c r="G20" s="6" t="n">
        <f aca="false">Lambda!B11</f>
        <v>9</v>
      </c>
      <c r="H20" s="6" t="n">
        <f aca="false">Lambda!B12</f>
        <v>8.75</v>
      </c>
      <c r="I20" s="7" t="s">
        <v>78</v>
      </c>
      <c r="J20" s="6" t="n">
        <f aca="false">Lambda!B36</f>
        <v>18.375</v>
      </c>
      <c r="K20" s="8" t="n">
        <f aca="false">Lambda!B37</f>
        <v>2.1</v>
      </c>
      <c r="L20" s="9" t="n">
        <f aca="false">Lambda!B38</f>
        <v>1.1</v>
      </c>
      <c r="M20" s="9" t="n">
        <f aca="false">Lambda!B39</f>
        <v>0.639882997800068</v>
      </c>
      <c r="N20" s="8" t="n">
        <f aca="false">Lambda!B40</f>
        <v>0.685714285714286</v>
      </c>
      <c r="O20" s="8" t="n">
        <f aca="false">Lambda!C40</f>
        <v>10.2857142857143</v>
      </c>
    </row>
    <row r="22" customFormat="false" ht="15" hidden="false" customHeight="false" outlineLevel="0" collapsed="false">
      <c r="A22" s="2" t="s">
        <v>79</v>
      </c>
    </row>
    <row r="23" customFormat="false" ht="15" hidden="false" customHeight="false" outlineLevel="0" collapsed="false">
      <c r="A23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81</v>
      </c>
    </row>
    <row r="3" customFormat="false" ht="45.75" hidden="false" customHeight="true" outlineLevel="0" collapsed="false">
      <c r="A3" s="10" t="s">
        <v>5</v>
      </c>
      <c r="B3" s="11" t="s">
        <v>82</v>
      </c>
    </row>
    <row r="4" customFormat="false" ht="45.75" hidden="false" customHeight="true" outlineLevel="0" collapsed="false">
      <c r="A4" s="10" t="s">
        <v>83</v>
      </c>
      <c r="B4" s="11" t="s">
        <v>84</v>
      </c>
    </row>
    <row r="5" customFormat="false" ht="45.75" hidden="false" customHeight="true" outlineLevel="0" collapsed="false">
      <c r="A5" s="10" t="s">
        <v>85</v>
      </c>
      <c r="B5" s="11" t="s">
        <v>86</v>
      </c>
    </row>
    <row r="6" customFormat="false" ht="45.75" hidden="false" customHeight="true" outlineLevel="0" collapsed="false">
      <c r="A6" s="10" t="s">
        <v>87</v>
      </c>
      <c r="B6" s="11" t="s">
        <v>88</v>
      </c>
    </row>
    <row r="7" customFormat="false" ht="45.75" hidden="false" customHeight="true" outlineLevel="0" collapsed="false">
      <c r="A7" s="10" t="s">
        <v>89</v>
      </c>
      <c r="B7" s="11" t="s">
        <v>90</v>
      </c>
    </row>
    <row r="8" customFormat="false" ht="45.75" hidden="false" customHeight="true" outlineLevel="0" collapsed="false">
      <c r="A8" s="10" t="s">
        <v>91</v>
      </c>
      <c r="B8" s="11" t="s">
        <v>92</v>
      </c>
    </row>
    <row r="9" customFormat="false" ht="45.75" hidden="false" customHeight="true" outlineLevel="0" collapsed="false">
      <c r="A9" s="10" t="s">
        <v>93</v>
      </c>
      <c r="B9" s="11" t="s">
        <v>94</v>
      </c>
    </row>
    <row r="10" customFormat="false" ht="45.75" hidden="false" customHeight="true" outlineLevel="0" collapsed="false">
      <c r="A10" s="10" t="s">
        <v>95</v>
      </c>
      <c r="B10" s="11" t="s">
        <v>96</v>
      </c>
    </row>
    <row r="11" customFormat="false" ht="45.75" hidden="false" customHeight="true" outlineLevel="0" collapsed="false">
      <c r="A11" s="10" t="s">
        <v>97</v>
      </c>
      <c r="B11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19</v>
      </c>
    </row>
    <row r="6" customFormat="false" ht="15" hidden="false" customHeight="false" outlineLevel="0" collapsed="false">
      <c r="A6" s="14" t="s">
        <v>101</v>
      </c>
      <c r="B6" s="15" t="n">
        <v>852</v>
      </c>
    </row>
    <row r="7" customFormat="false" ht="15" hidden="false" customHeight="false" outlineLevel="0" collapsed="false">
      <c r="A7" s="14" t="s">
        <v>102</v>
      </c>
      <c r="B7" s="15" t="n">
        <v>852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108</v>
      </c>
      <c r="B13" s="18" t="s">
        <v>109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113</v>
      </c>
      <c r="B17" s="21" t="n">
        <v>10.5</v>
      </c>
      <c r="C17" s="22" t="s">
        <v>114</v>
      </c>
    </row>
    <row r="18" customFormat="false" ht="15" hidden="false" customHeight="false" outlineLevel="0" collapsed="false">
      <c r="A18" s="20" t="s">
        <v>115</v>
      </c>
      <c r="B18" s="21" t="n">
        <v>24.7</v>
      </c>
      <c r="C18" s="22" t="s">
        <v>116</v>
      </c>
    </row>
    <row r="19" customFormat="false" ht="15" hidden="false" customHeight="false" outlineLevel="0" collapsed="false">
      <c r="A19" s="20" t="s">
        <v>117</v>
      </c>
      <c r="B19" s="21" t="n">
        <v>9.4</v>
      </c>
      <c r="C19" s="22" t="s">
        <v>116</v>
      </c>
    </row>
    <row r="20" customFormat="false" ht="15" hidden="false" customHeight="false" outlineLevel="0" collapsed="false">
      <c r="A20" s="20" t="s">
        <v>118</v>
      </c>
      <c r="B20" s="21" t="n">
        <v>7</v>
      </c>
      <c r="C20" s="22" t="s">
        <v>116</v>
      </c>
    </row>
    <row r="21" customFormat="false" ht="15" hidden="false" customHeight="false" outlineLevel="0" collapsed="false">
      <c r="A21" s="20" t="s">
        <v>119</v>
      </c>
      <c r="B21" s="21" t="n">
        <v>61</v>
      </c>
      <c r="C21" s="22" t="s">
        <v>120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1.5</v>
      </c>
      <c r="D32" s="5" t="s">
        <v>139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140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</v>
      </c>
      <c r="D34" s="5" t="s">
        <v>141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148</v>
      </c>
    </row>
    <row r="45" customFormat="false" ht="15" hidden="false" customHeight="false" outlineLevel="0" collapsed="false">
      <c r="A45" s="2" t="s">
        <v>149</v>
      </c>
    </row>
    <row r="46" customFormat="false" ht="15" hidden="false" customHeight="false" outlineLevel="0" collapsed="false">
      <c r="A46" s="2" t="s">
        <v>150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23</v>
      </c>
    </row>
    <row r="6" customFormat="false" ht="15" hidden="false" customHeight="false" outlineLevel="0" collapsed="false">
      <c r="A6" s="14" t="s">
        <v>101</v>
      </c>
      <c r="B6" s="15" t="n">
        <v>39</v>
      </c>
    </row>
    <row r="7" customFormat="false" ht="15" hidden="false" customHeight="false" outlineLevel="0" collapsed="false">
      <c r="A7" s="14" t="s">
        <v>102</v>
      </c>
      <c r="B7" s="15" t="n">
        <v>39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30</v>
      </c>
    </row>
    <row r="11" customFormat="false" ht="15" hidden="false" customHeight="false" outlineLevel="0" collapsed="false">
      <c r="A11" s="14" t="s">
        <v>106</v>
      </c>
      <c r="B11" s="15" t="n">
        <v>33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108</v>
      </c>
      <c r="B13" s="18" t="s">
        <v>152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157</v>
      </c>
      <c r="B19" s="21" t="n">
        <v>7.3</v>
      </c>
      <c r="C19" s="22" t="s">
        <v>158</v>
      </c>
    </row>
    <row r="20" customFormat="false" ht="15" hidden="false" customHeight="false" outlineLevel="0" collapsed="false">
      <c r="A20" s="20" t="s">
        <v>159</v>
      </c>
      <c r="B20" s="21" t="n">
        <v>6.3</v>
      </c>
      <c r="C20" s="22" t="s">
        <v>160</v>
      </c>
    </row>
    <row r="21" customFormat="false" ht="15" hidden="false" customHeight="false" outlineLevel="0" collapsed="false">
      <c r="A21" s="20" t="s">
        <v>161</v>
      </c>
      <c r="B21" s="21" t="n">
        <v>2.6</v>
      </c>
      <c r="C21" s="22" t="s">
        <v>162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166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167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168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27</v>
      </c>
    </row>
    <row r="6" customFormat="false" ht="15" hidden="false" customHeight="false" outlineLevel="0" collapsed="false">
      <c r="A6" s="14" t="s">
        <v>101</v>
      </c>
      <c r="B6" s="15" t="n">
        <v>10</v>
      </c>
    </row>
    <row r="7" customFormat="false" ht="15" hidden="false" customHeight="false" outlineLevel="0" collapsed="false">
      <c r="A7" s="14" t="s">
        <v>102</v>
      </c>
      <c r="B7" s="15" t="n">
        <v>10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10.5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108</v>
      </c>
      <c r="B13" s="18" t="s">
        <v>172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173</v>
      </c>
      <c r="B19" s="21" t="n">
        <v>1</v>
      </c>
      <c r="C19" s="22" t="s">
        <v>174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176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177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178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31</v>
      </c>
    </row>
    <row r="6" customFormat="false" ht="15" hidden="false" customHeight="false" outlineLevel="0" collapsed="false">
      <c r="A6" s="14" t="s">
        <v>101</v>
      </c>
      <c r="B6" s="15" t="n">
        <v>15</v>
      </c>
    </row>
    <row r="7" customFormat="false" ht="15" hidden="false" customHeight="false" outlineLevel="0" collapsed="false">
      <c r="A7" s="14" t="s">
        <v>102</v>
      </c>
      <c r="B7" s="15" t="n">
        <v>15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13.5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108</v>
      </c>
      <c r="B13" s="18" t="s">
        <v>182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183</v>
      </c>
      <c r="B17" s="21" t="n">
        <v>20.7</v>
      </c>
      <c r="C17" s="22" t="s">
        <v>184</v>
      </c>
    </row>
    <row r="18" customFormat="false" ht="15" hidden="false" customHeight="false" outlineLevel="0" collapsed="false">
      <c r="A18" s="20" t="s">
        <v>185</v>
      </c>
      <c r="B18" s="21" t="n">
        <v>17</v>
      </c>
      <c r="C18" s="22" t="s">
        <v>186</v>
      </c>
    </row>
    <row r="19" customFormat="false" ht="15" hidden="false" customHeight="false" outlineLevel="0" collapsed="false">
      <c r="A19" s="20" t="s">
        <v>187</v>
      </c>
      <c r="B19" s="21" t="n">
        <v>9</v>
      </c>
      <c r="C19" s="22" t="s">
        <v>188</v>
      </c>
    </row>
    <row r="20" customFormat="false" ht="15" hidden="false" customHeight="false" outlineLevel="0" collapsed="false">
      <c r="A20" s="20" t="s">
        <v>189</v>
      </c>
      <c r="B20" s="21" t="n">
        <v>5.9</v>
      </c>
      <c r="C20" s="22" t="s">
        <v>190</v>
      </c>
    </row>
    <row r="21" customFormat="false" ht="15" hidden="false" customHeight="false" outlineLevel="0" collapsed="false">
      <c r="A21" s="20" t="s">
        <v>191</v>
      </c>
      <c r="B21" s="21" t="n">
        <v>2.1</v>
      </c>
      <c r="C21" s="22" t="s">
        <v>192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193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194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195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196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197</v>
      </c>
    </row>
    <row r="45" customFormat="false" ht="15" hidden="false" customHeight="false" outlineLevel="0" collapsed="false">
      <c r="A45" s="2" t="s">
        <v>198</v>
      </c>
    </row>
    <row r="46" customFormat="false" ht="15" hidden="false" customHeight="false" outlineLevel="0" collapsed="false">
      <c r="A46" s="2" t="s">
        <v>199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35</v>
      </c>
    </row>
    <row r="6" customFormat="false" ht="15" hidden="false" customHeight="false" outlineLevel="0" collapsed="false">
      <c r="A6" s="14" t="s">
        <v>101</v>
      </c>
      <c r="B6" s="15" t="n">
        <v>1</v>
      </c>
    </row>
    <row r="7" customFormat="false" ht="15" hidden="false" customHeight="false" outlineLevel="0" collapsed="false">
      <c r="A7" s="14" t="s">
        <v>200</v>
      </c>
      <c r="B7" s="15" t="n">
        <v>3.5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201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115</v>
      </c>
      <c r="B17" s="21" t="n">
        <v>20.6</v>
      </c>
      <c r="C17" s="22" t="s">
        <v>184</v>
      </c>
    </row>
    <row r="18" customFormat="false" ht="15" hidden="false" customHeight="false" outlineLevel="0" collapsed="false">
      <c r="A18" s="20" t="s">
        <v>202</v>
      </c>
      <c r="B18" s="21" t="n">
        <v>24.5</v>
      </c>
      <c r="C18" s="22" t="s">
        <v>184</v>
      </c>
    </row>
    <row r="19" customFormat="false" ht="15" hidden="false" customHeight="false" outlineLevel="0" collapsed="false">
      <c r="A19" s="20" t="s">
        <v>203</v>
      </c>
      <c r="B19" s="21" t="n">
        <v>18</v>
      </c>
      <c r="C19" s="22" t="s">
        <v>184</v>
      </c>
    </row>
    <row r="20" customFormat="false" ht="15" hidden="false" customHeight="false" outlineLevel="0" collapsed="false">
      <c r="A20" s="20" t="s">
        <v>204</v>
      </c>
      <c r="B20" s="21" t="n">
        <v>16.9</v>
      </c>
      <c r="C20" s="22" t="s">
        <v>184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207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208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209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210</v>
      </c>
    </row>
    <row r="45" customFormat="false" ht="15" hidden="false" customHeight="false" outlineLevel="0" collapsed="false">
      <c r="A45" s="2" t="s">
        <v>211</v>
      </c>
    </row>
    <row r="46" customFormat="false" ht="15" hidden="false" customHeight="false" outlineLevel="0" collapsed="false">
      <c r="A46" s="2" t="s">
        <v>212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39</v>
      </c>
    </row>
    <row r="6" customFormat="false" ht="15" hidden="false" customHeight="false" outlineLevel="0" collapsed="false">
      <c r="A6" s="14" t="s">
        <v>101</v>
      </c>
      <c r="B6" s="15" t="n">
        <v>190</v>
      </c>
    </row>
    <row r="7" customFormat="false" ht="15" hidden="false" customHeight="false" outlineLevel="0" collapsed="false">
      <c r="A7" s="14" t="s">
        <v>102</v>
      </c>
      <c r="B7" s="15" t="n">
        <v>190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195</v>
      </c>
    </row>
    <row r="11" customFormat="false" ht="15" hidden="false" customHeight="false" outlineLevel="0" collapsed="false">
      <c r="A11" s="14" t="s">
        <v>106</v>
      </c>
      <c r="B11" s="15" t="n">
        <v>210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108</v>
      </c>
      <c r="B13" s="18" t="s">
        <v>213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215</v>
      </c>
    </row>
    <row r="18" customFormat="false" ht="15" hidden="false" customHeight="false" outlineLevel="0" collapsed="false">
      <c r="A18" s="20" t="s">
        <v>119</v>
      </c>
      <c r="B18" s="21" t="n">
        <v>61</v>
      </c>
      <c r="C18" s="22" t="s">
        <v>216</v>
      </c>
    </row>
    <row r="19" customFormat="false" ht="15" hidden="false" customHeight="false" outlineLevel="0" collapsed="false">
      <c r="A19" s="20" t="s">
        <v>217</v>
      </c>
      <c r="B19" s="21" t="n">
        <v>10</v>
      </c>
      <c r="C19" s="22" t="s">
        <v>218</v>
      </c>
    </row>
    <row r="20" customFormat="false" ht="15" hidden="false" customHeight="false" outlineLevel="0" collapsed="false">
      <c r="A20" s="20" t="s">
        <v>113</v>
      </c>
      <c r="B20" s="21" t="n">
        <v>10.5</v>
      </c>
      <c r="C20" s="22" t="s">
        <v>219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220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221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222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223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224</v>
      </c>
    </row>
    <row r="45" customFormat="false" ht="15" hidden="false" customHeight="false" outlineLevel="0" collapsed="false">
      <c r="A45" s="2" t="s">
        <v>225</v>
      </c>
    </row>
    <row r="46" customFormat="false" ht="15" hidden="false" customHeight="false" outlineLevel="0" collapsed="false">
      <c r="A46" s="2" t="s">
        <v>226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43</v>
      </c>
    </row>
    <row r="6" customFormat="false" ht="15" hidden="false" customHeight="false" outlineLevel="0" collapsed="false">
      <c r="A6" s="14" t="s">
        <v>101</v>
      </c>
      <c r="B6" s="15" t="n">
        <v>30</v>
      </c>
    </row>
    <row r="7" customFormat="false" ht="15" hidden="false" customHeight="false" outlineLevel="0" collapsed="false">
      <c r="A7" s="14" t="s">
        <v>102</v>
      </c>
      <c r="B7" s="15" t="n">
        <v>30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23</v>
      </c>
    </row>
    <row r="11" customFormat="false" ht="15" hidden="false" customHeight="false" outlineLevel="0" collapsed="false">
      <c r="A11" s="14" t="s">
        <v>106</v>
      </c>
      <c r="B11" s="15" t="n">
        <v>28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108</v>
      </c>
      <c r="B13" s="18" t="s">
        <v>227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228</v>
      </c>
    </row>
    <row r="18" customFormat="false" ht="15" hidden="false" customHeight="false" outlineLevel="0" collapsed="false">
      <c r="A18" s="20" t="s">
        <v>229</v>
      </c>
      <c r="B18" s="21" t="n">
        <v>6.1</v>
      </c>
      <c r="C18" s="22" t="s">
        <v>230</v>
      </c>
    </row>
    <row r="19" customFormat="false" ht="15" hidden="false" customHeight="false" outlineLevel="0" collapsed="false">
      <c r="A19" s="20" t="s">
        <v>231</v>
      </c>
      <c r="B19" s="21" t="n">
        <v>4.7</v>
      </c>
      <c r="C19" s="22" t="s">
        <v>232</v>
      </c>
    </row>
    <row r="20" customFormat="false" ht="15" hidden="false" customHeight="false" outlineLevel="0" collapsed="false">
      <c r="A20" s="20" t="s">
        <v>233</v>
      </c>
      <c r="B20" s="21" t="n">
        <v>3.2</v>
      </c>
      <c r="C20" s="22" t="s">
        <v>234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236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237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238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239</v>
      </c>
    </row>
    <row r="45" customFormat="false" ht="15" hidden="false" customHeight="false" outlineLevel="0" collapsed="false">
      <c r="A45" s="2" t="s">
        <v>240</v>
      </c>
    </row>
    <row r="46" customFormat="false" ht="15" hidden="false" customHeight="false" outlineLevel="0" collapsed="false">
      <c r="A46" s="2" t="s">
        <v>241</v>
      </c>
    </row>
    <row r="47" customFormat="false" ht="15" hidden="false" customHeight="false" outlineLevel="0" collapsed="false">
      <c r="A47" s="2" t="s">
        <v>242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47</v>
      </c>
    </row>
    <row r="6" customFormat="false" ht="15" hidden="false" customHeight="false" outlineLevel="0" collapsed="false">
      <c r="A6" s="14" t="s">
        <v>101</v>
      </c>
      <c r="B6" s="15" t="n">
        <v>425</v>
      </c>
    </row>
    <row r="7" customFormat="false" ht="15" hidden="false" customHeight="false" outlineLevel="0" collapsed="false">
      <c r="A7" s="14" t="s">
        <v>102</v>
      </c>
      <c r="B7" s="15" t="n">
        <v>425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590</v>
      </c>
    </row>
    <row r="11" customFormat="false" ht="15" hidden="false" customHeight="false" outlineLevel="0" collapsed="false">
      <c r="A11" s="14" t="s">
        <v>106</v>
      </c>
      <c r="B11" s="15" t="n">
        <v>610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108</v>
      </c>
      <c r="B13" s="18" t="s">
        <v>243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118</v>
      </c>
      <c r="B17" s="21" t="n">
        <v>7.5</v>
      </c>
      <c r="C17" s="22" t="s">
        <v>244</v>
      </c>
    </row>
    <row r="18" customFormat="false" ht="15" hidden="false" customHeight="false" outlineLevel="0" collapsed="false">
      <c r="A18" s="20" t="s">
        <v>245</v>
      </c>
      <c r="B18" s="21" t="n">
        <v>10.7</v>
      </c>
      <c r="C18" s="22" t="s">
        <v>246</v>
      </c>
    </row>
    <row r="19" customFormat="false" ht="15" hidden="false" customHeight="false" outlineLevel="0" collapsed="false">
      <c r="A19" s="20" t="s">
        <v>247</v>
      </c>
      <c r="B19" s="21" t="n">
        <v>4.5</v>
      </c>
      <c r="C19" s="22" t="s">
        <v>248</v>
      </c>
    </row>
    <row r="20" customFormat="false" ht="15" hidden="false" customHeight="false" outlineLevel="0" collapsed="false">
      <c r="A20" s="20" t="s">
        <v>249</v>
      </c>
      <c r="B20" s="21" t="n">
        <v>2</v>
      </c>
      <c r="C20" s="22" t="s">
        <v>250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251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252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253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254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255</v>
      </c>
    </row>
    <row r="45" customFormat="false" ht="15" hidden="false" customHeight="false" outlineLevel="0" collapsed="false">
      <c r="A45" s="2" t="s">
        <v>256</v>
      </c>
    </row>
    <row r="46" customFormat="false" ht="15" hidden="false" customHeight="false" outlineLevel="0" collapsed="false">
      <c r="A46" s="2" t="s">
        <v>257</v>
      </c>
    </row>
    <row r="47" customFormat="false" ht="15" hidden="false" customHeight="false" outlineLevel="0" collapsed="false">
      <c r="A47" s="2" t="s">
        <v>258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51</v>
      </c>
    </row>
    <row r="6" customFormat="false" ht="15" hidden="false" customHeight="false" outlineLevel="0" collapsed="false">
      <c r="A6" s="14" t="s">
        <v>101</v>
      </c>
      <c r="B6" s="15" t="n">
        <v>7.2</v>
      </c>
    </row>
    <row r="7" customFormat="false" ht="15" hidden="false" customHeight="false" outlineLevel="0" collapsed="false">
      <c r="A7" s="14" t="s">
        <v>102</v>
      </c>
      <c r="B7" s="15" t="n">
        <v>7.2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6.5</v>
      </c>
    </row>
    <row r="11" customFormat="false" ht="15" hidden="false" customHeight="false" outlineLevel="0" collapsed="false">
      <c r="A11" s="14" t="s">
        <v>106</v>
      </c>
      <c r="B11" s="15" t="n">
        <v>7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108</v>
      </c>
      <c r="B13" s="18" t="s">
        <v>259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119</v>
      </c>
      <c r="B17" s="21" t="n">
        <v>61</v>
      </c>
      <c r="C17" s="22" t="s">
        <v>260</v>
      </c>
    </row>
    <row r="18" customFormat="false" ht="15" hidden="false" customHeight="false" outlineLevel="0" collapsed="false">
      <c r="A18" s="20" t="s">
        <v>214</v>
      </c>
      <c r="B18" s="21" t="n">
        <v>21.3</v>
      </c>
      <c r="C18" s="22" t="s">
        <v>184</v>
      </c>
    </row>
    <row r="19" customFormat="false" ht="15" hidden="false" customHeight="false" outlineLevel="0" collapsed="false">
      <c r="A19" s="20" t="s">
        <v>261</v>
      </c>
      <c r="B19" s="21" t="n">
        <v>20.9</v>
      </c>
      <c r="C19" s="22" t="s">
        <v>184</v>
      </c>
    </row>
    <row r="20" customFormat="false" ht="15" hidden="false" customHeight="false" outlineLevel="0" collapsed="false">
      <c r="A20" s="20" t="s">
        <v>217</v>
      </c>
      <c r="B20" s="21" t="n">
        <v>9.5</v>
      </c>
      <c r="C20" s="22" t="s">
        <v>184</v>
      </c>
    </row>
    <row r="21" customFormat="false" ht="15" hidden="false" customHeight="false" outlineLevel="0" collapsed="false">
      <c r="A21" s="20" t="s">
        <v>262</v>
      </c>
      <c r="B21" s="21" t="n">
        <v>8.2</v>
      </c>
      <c r="C21" s="22" t="s">
        <v>263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265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266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267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268</v>
      </c>
    </row>
    <row r="45" customFormat="false" ht="15" hidden="false" customHeight="false" outlineLevel="0" collapsed="false">
      <c r="A45" s="2" t="s">
        <v>269</v>
      </c>
    </row>
    <row r="46" customFormat="false" ht="15" hidden="false" customHeight="false" outlineLevel="0" collapsed="false">
      <c r="A46" s="2" t="s">
        <v>270</v>
      </c>
    </row>
    <row r="47" customFormat="false" ht="15" hidden="false" customHeight="false" outlineLevel="0" collapsed="false">
      <c r="A47" s="2" t="s">
        <v>271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54</v>
      </c>
    </row>
    <row r="6" customFormat="false" ht="15" hidden="false" customHeight="false" outlineLevel="0" collapsed="false">
      <c r="A6" s="14" t="s">
        <v>101</v>
      </c>
      <c r="B6" s="15" t="n">
        <v>4.4</v>
      </c>
    </row>
    <row r="7" customFormat="false" ht="15" hidden="false" customHeight="false" outlineLevel="0" collapsed="false">
      <c r="A7" s="14" t="s">
        <v>102</v>
      </c>
      <c r="B7" s="15" t="n">
        <v>4.4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273</v>
      </c>
      <c r="B17" s="21" t="n">
        <v>21.1</v>
      </c>
      <c r="C17" s="22" t="s">
        <v>274</v>
      </c>
    </row>
    <row r="18" customFormat="false" ht="15" hidden="false" customHeight="false" outlineLevel="0" collapsed="false">
      <c r="A18" s="20" t="s">
        <v>115</v>
      </c>
      <c r="B18" s="21" t="n">
        <v>20.6</v>
      </c>
      <c r="C18" s="22" t="s">
        <v>184</v>
      </c>
    </row>
    <row r="19" customFormat="false" ht="15" hidden="false" customHeight="false" outlineLevel="0" collapsed="false">
      <c r="A19" s="20" t="s">
        <v>202</v>
      </c>
      <c r="B19" s="21" t="n">
        <v>14.2</v>
      </c>
      <c r="C19" s="22" t="s">
        <v>275</v>
      </c>
    </row>
    <row r="20" customFormat="false" ht="15" hidden="false" customHeight="false" outlineLevel="0" collapsed="false">
      <c r="A20" s="20" t="s">
        <v>276</v>
      </c>
      <c r="B20" s="21" t="n">
        <v>10.3</v>
      </c>
      <c r="C20" s="22" t="s">
        <v>277</v>
      </c>
    </row>
    <row r="21" customFormat="false" ht="15" hidden="false" customHeight="false" outlineLevel="0" collapsed="false">
      <c r="A21" s="20" t="s">
        <v>204</v>
      </c>
      <c r="B21" s="21" t="n">
        <v>9.4</v>
      </c>
      <c r="C21" s="22" t="s">
        <v>275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279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280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281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282</v>
      </c>
    </row>
    <row r="45" customFormat="false" ht="15" hidden="false" customHeight="false" outlineLevel="0" collapsed="false">
      <c r="A45" s="2" t="s">
        <v>283</v>
      </c>
    </row>
    <row r="46" customFormat="false" ht="15" hidden="false" customHeight="false" outlineLevel="0" collapsed="false">
      <c r="A46" s="2" t="s">
        <v>284</v>
      </c>
    </row>
    <row r="47" customFormat="false" ht="15" hidden="false" customHeight="false" outlineLevel="0" collapsed="false">
      <c r="A47" s="2" t="s">
        <v>285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57</v>
      </c>
    </row>
    <row r="6" customFormat="false" ht="15" hidden="false" customHeight="false" outlineLevel="0" collapsed="false">
      <c r="A6" s="14" t="s">
        <v>101</v>
      </c>
      <c r="B6" s="15" t="n">
        <v>7</v>
      </c>
    </row>
    <row r="7" customFormat="false" ht="15" hidden="false" customHeight="false" outlineLevel="0" collapsed="false">
      <c r="A7" s="14" t="s">
        <v>102</v>
      </c>
      <c r="B7" s="15" t="n">
        <v>7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</v>
      </c>
    </row>
    <row r="11" customFormat="false" ht="15" hidden="false" customHeight="false" outlineLevel="0" collapsed="false">
      <c r="A11" s="14" t="s">
        <v>106</v>
      </c>
      <c r="B11" s="15" t="n">
        <v>6.5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108</v>
      </c>
      <c r="B13" s="18" t="s">
        <v>286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287</v>
      </c>
      <c r="B17" s="21" t="n">
        <v>58</v>
      </c>
      <c r="C17" s="22" t="s">
        <v>288</v>
      </c>
    </row>
    <row r="18" customFormat="false" ht="15" hidden="false" customHeight="false" outlineLevel="0" collapsed="false">
      <c r="A18" s="20" t="s">
        <v>289</v>
      </c>
      <c r="B18" s="21" t="n">
        <v>200</v>
      </c>
      <c r="C18" s="22" t="s">
        <v>290</v>
      </c>
    </row>
    <row r="19" customFormat="false" ht="15" hidden="false" customHeight="false" outlineLevel="0" collapsed="false">
      <c r="A19" s="20" t="s">
        <v>291</v>
      </c>
      <c r="B19" s="21" t="n">
        <v>157</v>
      </c>
      <c r="C19" s="22" t="s">
        <v>292</v>
      </c>
    </row>
    <row r="20" customFormat="false" ht="15" hidden="false" customHeight="false" outlineLevel="0" collapsed="false">
      <c r="A20" s="20" t="s">
        <v>293</v>
      </c>
      <c r="B20" s="21" t="n">
        <v>15.6</v>
      </c>
      <c r="C20" s="22" t="s">
        <v>294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3.5</v>
      </c>
      <c r="D32" s="5" t="s">
        <v>296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4.5</v>
      </c>
      <c r="D33" s="5" t="s">
        <v>297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5.5</v>
      </c>
      <c r="D34" s="5" t="s">
        <v>298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299</v>
      </c>
    </row>
    <row r="45" customFormat="false" ht="15" hidden="false" customHeight="false" outlineLevel="0" collapsed="false">
      <c r="A45" s="2" t="s">
        <v>300</v>
      </c>
    </row>
    <row r="46" customFormat="false" ht="15" hidden="false" customHeight="false" outlineLevel="0" collapsed="false">
      <c r="A46" s="2" t="s">
        <v>301</v>
      </c>
    </row>
    <row r="47" customFormat="false" ht="15" hidden="false" customHeight="false" outlineLevel="0" collapsed="false">
      <c r="A47" s="2" t="s">
        <v>302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61</v>
      </c>
    </row>
    <row r="6" customFormat="false" ht="15" hidden="false" customHeight="false" outlineLevel="0" collapsed="false">
      <c r="A6" s="14" t="s">
        <v>101</v>
      </c>
      <c r="B6" s="15" t="n">
        <v>126</v>
      </c>
    </row>
    <row r="7" customFormat="false" ht="15" hidden="false" customHeight="false" outlineLevel="0" collapsed="false">
      <c r="A7" s="14" t="s">
        <v>102</v>
      </c>
      <c r="B7" s="15" t="n">
        <v>126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150</v>
      </c>
    </row>
    <row r="11" customFormat="false" ht="15" hidden="false" customHeight="false" outlineLevel="0" collapsed="false">
      <c r="A11" s="14" t="s">
        <v>106</v>
      </c>
      <c r="B11" s="15" t="n">
        <v>155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152.5</v>
      </c>
    </row>
    <row r="13" customFormat="false" ht="42" hidden="false" customHeight="true" outlineLevel="0" collapsed="false">
      <c r="A13" s="14" t="s">
        <v>108</v>
      </c>
      <c r="B13" s="18" t="s">
        <v>303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304</v>
      </c>
      <c r="B17" s="21" t="n">
        <v>2.8</v>
      </c>
      <c r="C17" s="22" t="s">
        <v>305</v>
      </c>
    </row>
    <row r="18" customFormat="false" ht="15" hidden="false" customHeight="false" outlineLevel="0" collapsed="false">
      <c r="A18" s="20" t="s">
        <v>153</v>
      </c>
      <c r="B18" s="21" t="n">
        <v>15.2</v>
      </c>
      <c r="C18" s="22" t="s">
        <v>306</v>
      </c>
    </row>
    <row r="19" customFormat="false" ht="15" hidden="false" customHeight="false" outlineLevel="0" collapsed="false">
      <c r="A19" s="20" t="s">
        <v>307</v>
      </c>
      <c r="B19" s="21" t="n">
        <v>0.9</v>
      </c>
      <c r="C19" s="22" t="s">
        <v>308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6</v>
      </c>
      <c r="E25" s="26" t="n">
        <v>25</v>
      </c>
      <c r="F25" s="27" t="n">
        <f aca="false">D25*E25</f>
        <v>150</v>
      </c>
      <c r="G25" s="28" t="n">
        <f aca="false">F25/B12</f>
        <v>0.983606557377049</v>
      </c>
      <c r="H25" s="29" t="n">
        <f aca="false">G25-1</f>
        <v>-0.0163934426229508</v>
      </c>
      <c r="I25" s="29" t="n">
        <f aca="false">G25^(1/C25)-1</f>
        <v>-0.00823059263907056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3</v>
      </c>
      <c r="D26" s="25" t="n">
        <v>20</v>
      </c>
      <c r="E26" s="26" t="n">
        <v>21</v>
      </c>
      <c r="F26" s="27" t="n">
        <f aca="false">D26*E26</f>
        <v>420</v>
      </c>
      <c r="G26" s="28" t="n">
        <f aca="false">F26/B12</f>
        <v>2.75409836065574</v>
      </c>
      <c r="H26" s="29" t="n">
        <f aca="false">G26-1</f>
        <v>1.75409836065574</v>
      </c>
      <c r="I26" s="29" t="n">
        <f aca="false">G26^(1/C26)-1</f>
        <v>0.401715305792211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35</v>
      </c>
      <c r="E27" s="26" t="n">
        <v>22</v>
      </c>
      <c r="F27" s="27" t="n">
        <f aca="false">D27*E27</f>
        <v>770</v>
      </c>
      <c r="G27" s="28" t="n">
        <f aca="false">F27/B12</f>
        <v>5.04918032786885</v>
      </c>
      <c r="H27" s="29" t="n">
        <f aca="false">G27-1</f>
        <v>4.04918032786885</v>
      </c>
      <c r="I27" s="29" t="n">
        <f aca="false">G27^(1/C27)-1</f>
        <v>0.433082877242528</v>
      </c>
    </row>
    <row r="28" customFormat="false" ht="30" hidden="false" customHeight="true" outlineLevel="0" collapsed="false">
      <c r="A28" s="18" t="s">
        <v>309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35.0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310</v>
      </c>
      <c r="E32" s="25" t="n">
        <v>160</v>
      </c>
      <c r="F32" s="28" t="n">
        <f aca="false">E32/B12</f>
        <v>1.04918032786885</v>
      </c>
      <c r="G32" s="29" t="n">
        <f aca="false">F32-1</f>
        <v>0.0491803278688525</v>
      </c>
      <c r="H32" s="29" t="n">
        <f aca="false">F32^(1/C32)-1</f>
        <v>0.0242950394631678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3</v>
      </c>
      <c r="D33" s="5" t="s">
        <v>311</v>
      </c>
      <c r="E33" s="25" t="n">
        <v>495</v>
      </c>
      <c r="F33" s="28" t="n">
        <f aca="false">E33/B12</f>
        <v>3.24590163934426</v>
      </c>
      <c r="G33" s="29" t="n">
        <f aca="false">F33-1</f>
        <v>2.24590163934426</v>
      </c>
      <c r="H33" s="29" t="n">
        <f aca="false">F33^(1/C33)-1</f>
        <v>0.480625137564128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312</v>
      </c>
      <c r="E34" s="25" t="n">
        <v>850</v>
      </c>
      <c r="F34" s="28" t="n">
        <f aca="false">E34/B12</f>
        <v>5.57377049180328</v>
      </c>
      <c r="G34" s="29" t="n">
        <f aca="false">F34-1</f>
        <v>4.57377049180328</v>
      </c>
      <c r="H34" s="29" t="n">
        <f aca="false">F34^(1/C34)-1</f>
        <v>0.464909876729523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457.5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0.442249570307408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0.983606557377049</v>
      </c>
      <c r="C40" s="30" t="n">
        <f aca="false">MAX(G27,F34)</f>
        <v>5.57377049180328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2.95161290322581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313</v>
      </c>
    </row>
    <row r="45" customFormat="false" ht="15" hidden="false" customHeight="false" outlineLevel="0" collapsed="false">
      <c r="A45" s="2" t="s">
        <v>314</v>
      </c>
    </row>
    <row r="46" customFormat="false" ht="15" hidden="false" customHeight="false" outlineLevel="0" collapsed="false">
      <c r="A46" s="2" t="s">
        <v>315</v>
      </c>
    </row>
    <row r="47" customFormat="false" ht="15" hidden="false" customHeight="false" outlineLevel="0" collapsed="false">
      <c r="A47" s="2" t="s">
        <v>316</v>
      </c>
    </row>
    <row r="48" customFormat="false" ht="15" hidden="false" customHeight="false" outlineLevel="0" collapsed="false">
      <c r="A48" s="2" t="s">
        <v>317</v>
      </c>
    </row>
    <row r="49" customFormat="false" ht="15" hidden="false" customHeight="false" outlineLevel="0" collapsed="false">
      <c r="A49" s="2" t="s">
        <v>318</v>
      </c>
    </row>
    <row r="50" customFormat="false" ht="15" hidden="false" customHeight="false" outlineLevel="0" collapsed="false">
      <c r="A50" s="2" t="s">
        <v>319</v>
      </c>
    </row>
    <row r="51" customFormat="false" ht="15" hidden="false" customHeight="false" outlineLevel="0" collapsed="false">
      <c r="A51" s="2" t="s">
        <v>320</v>
      </c>
    </row>
    <row r="52" customFormat="false" ht="15" hidden="false" customHeight="false" outlineLevel="0" collapsed="false">
      <c r="A52" s="2" t="s">
        <v>321</v>
      </c>
    </row>
    <row r="53" customFormat="false" ht="15" hidden="false" customHeight="false" outlineLevel="0" collapsed="false">
      <c r="A53" s="2" t="s">
        <v>322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65</v>
      </c>
    </row>
    <row r="6" customFormat="false" ht="15" hidden="false" customHeight="false" outlineLevel="0" collapsed="false">
      <c r="A6" s="14" t="s">
        <v>101</v>
      </c>
      <c r="B6" s="15" t="n">
        <v>5</v>
      </c>
    </row>
    <row r="7" customFormat="false" ht="15" hidden="false" customHeight="false" outlineLevel="0" collapsed="false">
      <c r="A7" s="14" t="s">
        <v>102</v>
      </c>
      <c r="B7" s="15" t="n">
        <v>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5.9</v>
      </c>
    </row>
    <row r="11" customFormat="false" ht="15" hidden="false" customHeight="false" outlineLevel="0" collapsed="false">
      <c r="A11" s="14" t="s">
        <v>106</v>
      </c>
      <c r="B11" s="15" t="n">
        <v>6.2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6.05</v>
      </c>
    </row>
    <row r="13" customFormat="false" ht="42" hidden="false" customHeight="true" outlineLevel="0" collapsed="false">
      <c r="A13" s="14" t="s">
        <v>108</v>
      </c>
      <c r="B13" s="18" t="s">
        <v>323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324</v>
      </c>
      <c r="B17" s="21" t="n">
        <v>8.5</v>
      </c>
      <c r="C17" s="22" t="s">
        <v>325</v>
      </c>
    </row>
    <row r="18" customFormat="false" ht="15" hidden="false" customHeight="false" outlineLevel="0" collapsed="false">
      <c r="A18" s="20" t="s">
        <v>326</v>
      </c>
      <c r="B18" s="21" t="n">
        <v>2.1</v>
      </c>
      <c r="C18" s="22" t="s">
        <v>327</v>
      </c>
    </row>
    <row r="19" customFormat="false" ht="15" hidden="false" customHeight="false" outlineLevel="0" collapsed="false">
      <c r="A19" s="20" t="s">
        <v>328</v>
      </c>
      <c r="B19" s="21" t="n">
        <v>1.3</v>
      </c>
      <c r="C19" s="22" t="s">
        <v>329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0.661157024793388</v>
      </c>
      <c r="H25" s="29" t="n">
        <f aca="false">G25-1</f>
        <v>-0.338842975206612</v>
      </c>
      <c r="I25" s="29" t="n">
        <f aca="false">G25^(1/C25)-1</f>
        <v>-0.241067628209734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1.5</v>
      </c>
      <c r="E26" s="26" t="n">
        <v>8</v>
      </c>
      <c r="F26" s="27" t="n">
        <f aca="false">D26*E26</f>
        <v>12</v>
      </c>
      <c r="G26" s="28" t="n">
        <f aca="false">F26/B12</f>
        <v>1.98347107438017</v>
      </c>
      <c r="H26" s="29" t="n">
        <f aca="false">G26-1</f>
        <v>0.983471074380165</v>
      </c>
      <c r="I26" s="29" t="n">
        <f aca="false">G26^(1/C26)-1</f>
        <v>0.408357580439061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3.86776859504132</v>
      </c>
      <c r="H27" s="29" t="n">
        <f aca="false">G27-1</f>
        <v>2.86776859504132</v>
      </c>
      <c r="I27" s="29" t="n">
        <f aca="false">G27^(1/C27)-1</f>
        <v>0.471790014936723</v>
      </c>
    </row>
    <row r="28" customFormat="false" ht="30" hidden="false" customHeight="true" outlineLevel="0" collapsed="false">
      <c r="A28" s="18" t="s">
        <v>330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331</v>
      </c>
      <c r="E32" s="25" t="n">
        <v>5</v>
      </c>
      <c r="F32" s="28" t="n">
        <f aca="false">E32/B12</f>
        <v>0.826446280991735</v>
      </c>
      <c r="G32" s="29" t="n">
        <f aca="false">F32-1</f>
        <v>-0.173553719008265</v>
      </c>
      <c r="H32" s="29" t="n">
        <f aca="false">F32^(1/C32)-1</f>
        <v>-0.11933699440776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332</v>
      </c>
      <c r="E33" s="25" t="n">
        <v>18.25</v>
      </c>
      <c r="F33" s="28" t="n">
        <f aca="false">E33/B12</f>
        <v>3.01652892561983</v>
      </c>
      <c r="G33" s="29" t="n">
        <f aca="false">F33-1</f>
        <v>2.01652892561983</v>
      </c>
      <c r="H33" s="29" t="n">
        <f aca="false">F33^(1/C33)-1</f>
        <v>0.736815743140254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333</v>
      </c>
      <c r="E34" s="25" t="n">
        <v>26</v>
      </c>
      <c r="F34" s="28" t="n">
        <f aca="false">E34/B12</f>
        <v>4.29752066115703</v>
      </c>
      <c r="G34" s="29" t="n">
        <f aca="false">F34-1</f>
        <v>3.29752066115702</v>
      </c>
      <c r="H34" s="29" t="n">
        <f aca="false">F34^(1/C34)-1</f>
        <v>0.516768919857198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15.125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0.58113883008419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0.661157024793388</v>
      </c>
      <c r="C40" s="30" t="n">
        <f aca="false">MAX(G27,F34)</f>
        <v>4.29752066115703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2.43951612903226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334</v>
      </c>
    </row>
    <row r="45" customFormat="false" ht="15" hidden="false" customHeight="false" outlineLevel="0" collapsed="false">
      <c r="A45" s="2" t="s">
        <v>335</v>
      </c>
    </row>
    <row r="46" customFormat="false" ht="15" hidden="false" customHeight="false" outlineLevel="0" collapsed="false">
      <c r="A46" s="2" t="s">
        <v>336</v>
      </c>
    </row>
    <row r="47" customFormat="false" ht="15" hidden="false" customHeight="false" outlineLevel="0" collapsed="false">
      <c r="A47" s="2" t="s">
        <v>337</v>
      </c>
    </row>
    <row r="48" customFormat="false" ht="15" hidden="false" customHeight="false" outlineLevel="0" collapsed="false">
      <c r="A48" s="2" t="s">
        <v>338</v>
      </c>
    </row>
    <row r="49" customFormat="false" ht="15" hidden="false" customHeight="false" outlineLevel="0" collapsed="false">
      <c r="A49" s="2" t="s">
        <v>339</v>
      </c>
    </row>
    <row r="50" customFormat="false" ht="15" hidden="false" customHeight="false" outlineLevel="0" collapsed="false">
      <c r="A50" s="2" t="s">
        <v>340</v>
      </c>
    </row>
    <row r="51" customFormat="false" ht="15" hidden="false" customHeight="false" outlineLevel="0" collapsed="false">
      <c r="A51" s="2" t="s">
        <v>341</v>
      </c>
    </row>
    <row r="52" customFormat="false" ht="15" hidden="false" customHeight="false" outlineLevel="0" collapsed="false">
      <c r="A52" s="2" t="s">
        <v>342</v>
      </c>
    </row>
    <row r="53" customFormat="false" ht="15" hidden="false" customHeight="false" outlineLevel="0" collapsed="false">
      <c r="A53" s="2" t="s">
        <v>343</v>
      </c>
    </row>
    <row r="54" customFormat="false" ht="15" hidden="false" customHeight="false" outlineLevel="0" collapsed="false">
      <c r="A54" s="2" t="s">
        <v>344</v>
      </c>
    </row>
    <row r="55" customFormat="false" ht="15" hidden="false" customHeight="false" outlineLevel="0" collapsed="false">
      <c r="A55" s="2" t="s">
        <v>345</v>
      </c>
    </row>
    <row r="56" customFormat="false" ht="15" hidden="false" customHeight="false" outlineLevel="0" collapsed="false">
      <c r="A56" s="2" t="s">
        <v>346</v>
      </c>
    </row>
    <row r="57" customFormat="false" ht="15" hidden="false" customHeight="false" outlineLevel="0" collapsed="false">
      <c r="A57" s="2" t="s">
        <v>347</v>
      </c>
    </row>
    <row r="58" customFormat="false" ht="15" hidden="false" customHeight="false" outlineLevel="0" collapsed="false">
      <c r="A58" s="2" t="s">
        <v>348</v>
      </c>
    </row>
    <row r="59" customFormat="false" ht="15" hidden="false" customHeight="false" outlineLevel="0" collapsed="false">
      <c r="A59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69</v>
      </c>
    </row>
    <row r="6" customFormat="false" ht="15" hidden="false" customHeight="false" outlineLevel="0" collapsed="false">
      <c r="A6" s="14" t="s">
        <v>101</v>
      </c>
      <c r="B6" s="15" t="n">
        <v>35</v>
      </c>
    </row>
    <row r="7" customFormat="false" ht="15" hidden="false" customHeight="false" outlineLevel="0" collapsed="false">
      <c r="A7" s="14" t="s">
        <v>102</v>
      </c>
      <c r="B7" s="15" t="n">
        <v>35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26</v>
      </c>
    </row>
    <row r="11" customFormat="false" ht="15" hidden="false" customHeight="false" outlineLevel="0" collapsed="false">
      <c r="A11" s="14" t="s">
        <v>106</v>
      </c>
      <c r="B11" s="15" t="n">
        <v>30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28</v>
      </c>
    </row>
    <row r="13" customFormat="false" ht="42" hidden="false" customHeight="true" outlineLevel="0" collapsed="false">
      <c r="A13" s="14" t="s">
        <v>108</v>
      </c>
      <c r="B13" s="18" t="s">
        <v>349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350</v>
      </c>
      <c r="B17" s="21" t="n">
        <v>15</v>
      </c>
      <c r="C17" s="22" t="s">
        <v>351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351</v>
      </c>
    </row>
    <row r="19" customFormat="false" ht="15" hidden="false" customHeight="false" outlineLevel="0" collapsed="false">
      <c r="A19" s="20" t="s">
        <v>352</v>
      </c>
      <c r="B19" s="21" t="n">
        <v>0</v>
      </c>
      <c r="C19" s="22" t="s">
        <v>353</v>
      </c>
    </row>
    <row r="20" customFormat="false" ht="15" hidden="false" customHeight="false" outlineLevel="0" collapsed="false">
      <c r="A20" s="20" t="s">
        <v>354</v>
      </c>
      <c r="B20" s="21" t="n">
        <v>0</v>
      </c>
      <c r="C20" s="22" t="s">
        <v>355</v>
      </c>
    </row>
    <row r="21" customFormat="false" ht="15" hidden="false" customHeight="false" outlineLevel="0" collapsed="false">
      <c r="A21" s="20" t="s">
        <v>356</v>
      </c>
      <c r="B21" s="21" t="n">
        <v>1.9</v>
      </c>
      <c r="C21" s="22" t="s">
        <v>357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0.6</v>
      </c>
      <c r="E25" s="26" t="n">
        <v>40</v>
      </c>
      <c r="F25" s="27" t="n">
        <f aca="false">D25*E25</f>
        <v>24</v>
      </c>
      <c r="G25" s="28" t="n">
        <f aca="false">F25/B12</f>
        <v>0.857142857142857</v>
      </c>
      <c r="H25" s="29" t="n">
        <f aca="false">G25-1</f>
        <v>-0.142857142857143</v>
      </c>
      <c r="I25" s="29" t="n">
        <f aca="false">G25^(1/C25)-1</f>
        <v>-0.142857142857143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1.75</v>
      </c>
      <c r="D26" s="25" t="n">
        <v>1.2</v>
      </c>
      <c r="E26" s="26" t="n">
        <v>55</v>
      </c>
      <c r="F26" s="27" t="n">
        <f aca="false">D26*E26</f>
        <v>66</v>
      </c>
      <c r="G26" s="28" t="n">
        <f aca="false">F26/B12</f>
        <v>2.35714285714286</v>
      </c>
      <c r="H26" s="29" t="n">
        <f aca="false">G26-1</f>
        <v>1.35714285714286</v>
      </c>
      <c r="I26" s="29" t="n">
        <f aca="false">G26^(1/C26)-1</f>
        <v>0.632269799268895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7.14285714285714</v>
      </c>
      <c r="H27" s="29" t="n">
        <f aca="false">G27-1</f>
        <v>6.14285714285714</v>
      </c>
      <c r="I27" s="29" t="n">
        <f aca="false">G27^(1/C27)-1</f>
        <v>1.19557757174337</v>
      </c>
    </row>
    <row r="28" customFormat="false" ht="30" hidden="false" customHeight="true" outlineLevel="0" collapsed="false">
      <c r="A28" s="18" t="s">
        <v>358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359</v>
      </c>
      <c r="E32" s="25" t="n">
        <v>26</v>
      </c>
      <c r="F32" s="28" t="n">
        <f aca="false">E32/B12</f>
        <v>0.928571428571429</v>
      </c>
      <c r="G32" s="29" t="n">
        <f aca="false">F32-1</f>
        <v>-0.0714285714285714</v>
      </c>
      <c r="H32" s="29" t="n">
        <f aca="false">F32^(1/C32)-1</f>
        <v>-0.0714285714285714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1.75</v>
      </c>
      <c r="D33" s="5" t="s">
        <v>360</v>
      </c>
      <c r="E33" s="25" t="n">
        <v>57.2</v>
      </c>
      <c r="F33" s="28" t="n">
        <f aca="false">E33/B12</f>
        <v>2.04285714285714</v>
      </c>
      <c r="G33" s="29" t="n">
        <f aca="false">F33-1</f>
        <v>1.04285714285714</v>
      </c>
      <c r="H33" s="29" t="n">
        <f aca="false">F33^(1/C33)-1</f>
        <v>0.504107426853512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2.5</v>
      </c>
      <c r="D34" s="5" t="s">
        <v>361</v>
      </c>
      <c r="E34" s="25" t="n">
        <v>210</v>
      </c>
      <c r="F34" s="28" t="n">
        <f aca="false">E34/B12</f>
        <v>7.5</v>
      </c>
      <c r="G34" s="29" t="n">
        <f aca="false">F34-1</f>
        <v>6.5</v>
      </c>
      <c r="H34" s="29" t="n">
        <f aca="false">F34^(1/C34)-1</f>
        <v>1.23884746347022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0.569170385885172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0.857142857142857</v>
      </c>
      <c r="C40" s="30" t="n">
        <f aca="false">MAX(G27,F34)</f>
        <v>7.5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2.05333333333333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362</v>
      </c>
    </row>
    <row r="45" customFormat="false" ht="15" hidden="false" customHeight="false" outlineLevel="0" collapsed="false">
      <c r="A45" s="2" t="s">
        <v>363</v>
      </c>
    </row>
    <row r="46" customFormat="false" ht="15" hidden="false" customHeight="false" outlineLevel="0" collapsed="false">
      <c r="A46" s="2" t="s">
        <v>364</v>
      </c>
    </row>
    <row r="47" customFormat="false" ht="15" hidden="false" customHeight="false" outlineLevel="0" collapsed="false">
      <c r="A47" s="2" t="s">
        <v>365</v>
      </c>
    </row>
    <row r="48" customFormat="false" ht="15" hidden="false" customHeight="false" outlineLevel="0" collapsed="false">
      <c r="A48" s="2" t="s">
        <v>366</v>
      </c>
    </row>
    <row r="49" customFormat="false" ht="15" hidden="false" customHeight="false" outlineLevel="0" collapsed="false">
      <c r="A49" s="2" t="s">
        <v>367</v>
      </c>
    </row>
    <row r="50" customFormat="false" ht="15" hidden="false" customHeight="false" outlineLevel="0" collapsed="false">
      <c r="A50" s="2" t="s">
        <v>368</v>
      </c>
    </row>
    <row r="51" customFormat="false" ht="15" hidden="false" customHeight="false" outlineLevel="0" collapsed="false">
      <c r="A51" s="2" t="s">
        <v>369</v>
      </c>
    </row>
    <row r="52" customFormat="false" ht="15" hidden="false" customHeight="false" outlineLevel="0" collapsed="false">
      <c r="A52" s="2" t="s">
        <v>370</v>
      </c>
    </row>
    <row r="53" customFormat="false" ht="15" hidden="false" customHeight="false" outlineLevel="0" collapsed="false">
      <c r="A53" s="2" t="s">
        <v>371</v>
      </c>
    </row>
    <row r="54" customFormat="false" ht="15" hidden="false" customHeight="false" outlineLevel="0" collapsed="false">
      <c r="A54" s="2" t="s">
        <v>372</v>
      </c>
    </row>
    <row r="55" customFormat="false" ht="15" hidden="false" customHeight="false" outlineLevel="0" collapsed="false">
      <c r="A55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73</v>
      </c>
    </row>
    <row r="6" customFormat="false" ht="15" hidden="false" customHeight="false" outlineLevel="0" collapsed="false">
      <c r="A6" s="14" t="s">
        <v>101</v>
      </c>
      <c r="B6" s="15" t="n">
        <v>5.4</v>
      </c>
    </row>
    <row r="7" customFormat="false" ht="15" hidden="false" customHeight="false" outlineLevel="0" collapsed="false">
      <c r="A7" s="14" t="s">
        <v>102</v>
      </c>
      <c r="B7" s="15" t="n">
        <v>5.4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5.5</v>
      </c>
    </row>
    <row r="11" customFormat="false" ht="15" hidden="false" customHeight="false" outlineLevel="0" collapsed="false">
      <c r="A11" s="14" t="s">
        <v>106</v>
      </c>
      <c r="B11" s="15" t="n">
        <v>6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5.75</v>
      </c>
    </row>
    <row r="13" customFormat="false" ht="42" hidden="false" customHeight="true" outlineLevel="0" collapsed="false">
      <c r="A13" s="14" t="s">
        <v>108</v>
      </c>
      <c r="B13" s="18" t="s">
        <v>373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374</v>
      </c>
      <c r="B17" s="21" t="n">
        <v>40</v>
      </c>
      <c r="C17" s="22" t="s">
        <v>375</v>
      </c>
    </row>
    <row r="18" customFormat="false" ht="15" hidden="false" customHeight="false" outlineLevel="0" collapsed="false">
      <c r="A18" s="20" t="s">
        <v>376</v>
      </c>
      <c r="B18" s="21" t="n">
        <v>33</v>
      </c>
      <c r="C18" s="22" t="s">
        <v>377</v>
      </c>
    </row>
    <row r="19" customFormat="false" ht="15" hidden="false" customHeight="false" outlineLevel="0" collapsed="false">
      <c r="A19" s="20" t="s">
        <v>378</v>
      </c>
      <c r="B19" s="21" t="n">
        <v>26.7</v>
      </c>
      <c r="C19" s="22" t="s">
        <v>351</v>
      </c>
    </row>
    <row r="20" customFormat="false" ht="15" hidden="false" customHeight="false" outlineLevel="0" collapsed="false">
      <c r="A20" s="20" t="s">
        <v>379</v>
      </c>
      <c r="B20" s="21" t="n">
        <v>17.7</v>
      </c>
      <c r="C20" s="22" t="s">
        <v>351</v>
      </c>
    </row>
    <row r="21" customFormat="false" ht="15" hidden="false" customHeight="false" outlineLevel="0" collapsed="false">
      <c r="A21" s="20" t="s">
        <v>380</v>
      </c>
      <c r="B21" s="21" t="n">
        <v>7.7</v>
      </c>
      <c r="C21" s="22" t="s">
        <v>381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0.521739130434783</v>
      </c>
      <c r="H25" s="29" t="n">
        <f aca="false">G25-1</f>
        <v>-0.478260869565217</v>
      </c>
      <c r="I25" s="29" t="n">
        <f aca="false">G25^(1/C25)-1</f>
        <v>-0.351909572719927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0.9</v>
      </c>
      <c r="E26" s="26" t="n">
        <v>22</v>
      </c>
      <c r="F26" s="27" t="n">
        <f aca="false">D26*E26</f>
        <v>19.8</v>
      </c>
      <c r="G26" s="28" t="n">
        <f aca="false">F26/B12</f>
        <v>3.44347826086957</v>
      </c>
      <c r="H26" s="29" t="n">
        <f aca="false">G26-1</f>
        <v>2.44347826086957</v>
      </c>
      <c r="I26" s="29" t="n">
        <f aca="false">G26^(1/C26)-1</f>
        <v>0.423730579232139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8.69565217391304</v>
      </c>
      <c r="H27" s="29" t="n">
        <f aca="false">G27-1</f>
        <v>7.69565217391304</v>
      </c>
      <c r="I27" s="29" t="n">
        <f aca="false">G27^(1/C27)-1</f>
        <v>0.617088591727101</v>
      </c>
    </row>
    <row r="28" customFormat="false" ht="30" hidden="false" customHeight="true" outlineLevel="0" collapsed="false">
      <c r="A28" s="18" t="s">
        <v>382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383</v>
      </c>
      <c r="E32" s="25" t="n">
        <v>3.5</v>
      </c>
      <c r="F32" s="28" t="n">
        <f aca="false">E32/B12</f>
        <v>0.608695652173913</v>
      </c>
      <c r="G32" s="29" t="n">
        <f aca="false">F32-1</f>
        <v>-0.391304347826087</v>
      </c>
      <c r="H32" s="29" t="n">
        <f aca="false">F32^(1/C32)-1</f>
        <v>-0.281764611273275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384</v>
      </c>
      <c r="E33" s="25" t="n">
        <v>21.6</v>
      </c>
      <c r="F33" s="28" t="n">
        <f aca="false">E33/B12</f>
        <v>3.75652173913044</v>
      </c>
      <c r="G33" s="29" t="n">
        <f aca="false">F33-1</f>
        <v>2.75652173913044</v>
      </c>
      <c r="H33" s="29" t="n">
        <f aca="false">F33^(1/C33)-1</f>
        <v>0.459568710827752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385</v>
      </c>
      <c r="E34" s="25" t="n">
        <v>55</v>
      </c>
      <c r="F34" s="28" t="n">
        <f aca="false">E34/B12</f>
        <v>9.56521739130435</v>
      </c>
      <c r="G34" s="29" t="n">
        <f aca="false">F34-1</f>
        <v>8.56521739130435</v>
      </c>
      <c r="H34" s="29" t="n">
        <f aca="false">F34^(1/C34)-1</f>
        <v>0.651703875249193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20.7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0.441927988088433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0.521739130434783</v>
      </c>
      <c r="C40" s="30" t="n">
        <f aca="false">MAX(G27,F34)</f>
        <v>9.56521739130435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3.45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386</v>
      </c>
    </row>
    <row r="45" customFormat="false" ht="15" hidden="false" customHeight="false" outlineLevel="0" collapsed="false">
      <c r="A45" s="2" t="s">
        <v>387</v>
      </c>
    </row>
    <row r="46" customFormat="false" ht="15" hidden="false" customHeight="false" outlineLevel="0" collapsed="false">
      <c r="A46" s="2" t="s">
        <v>388</v>
      </c>
    </row>
    <row r="47" customFormat="false" ht="15" hidden="false" customHeight="false" outlineLevel="0" collapsed="false">
      <c r="A47" s="2" t="s">
        <v>389</v>
      </c>
    </row>
    <row r="48" customFormat="false" ht="15" hidden="false" customHeight="false" outlineLevel="0" collapsed="false">
      <c r="A48" s="2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2" t="s">
        <v>392</v>
      </c>
    </row>
    <row r="51" customFormat="false" ht="15" hidden="false" customHeight="false" outlineLevel="0" collapsed="false">
      <c r="A51" s="2" t="s">
        <v>393</v>
      </c>
    </row>
    <row r="52" customFormat="false" ht="15" hidden="false" customHeight="false" outlineLevel="0" collapsed="false">
      <c r="A52" s="2" t="s">
        <v>394</v>
      </c>
    </row>
    <row r="53" customFormat="false" ht="15" hidden="false" customHeight="false" outlineLevel="0" collapsed="false">
      <c r="A53" s="2" t="s">
        <v>395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12" t="s">
        <v>76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77</v>
      </c>
    </row>
    <row r="6" customFormat="false" ht="15" hidden="false" customHeight="false" outlineLevel="0" collapsed="false">
      <c r="A6" s="14" t="s">
        <v>101</v>
      </c>
      <c r="B6" s="15" t="n">
        <v>5.9</v>
      </c>
    </row>
    <row r="7" customFormat="false" ht="15" hidden="false" customHeight="false" outlineLevel="0" collapsed="false">
      <c r="A7" s="14" t="s">
        <v>102</v>
      </c>
      <c r="B7" s="15" t="n">
        <v>5.9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8.5</v>
      </c>
    </row>
    <row r="11" customFormat="false" ht="15" hidden="false" customHeight="false" outlineLevel="0" collapsed="false">
      <c r="A11" s="14" t="s">
        <v>106</v>
      </c>
      <c r="B11" s="15" t="n">
        <v>9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8.75</v>
      </c>
    </row>
    <row r="13" customFormat="false" ht="42" hidden="false" customHeight="true" outlineLevel="0" collapsed="false">
      <c r="A13" s="14" t="s">
        <v>108</v>
      </c>
      <c r="B13" s="18" t="s">
        <v>396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397</v>
      </c>
      <c r="B17" s="21" t="n">
        <v>9.2</v>
      </c>
      <c r="C17" s="22" t="s">
        <v>398</v>
      </c>
    </row>
    <row r="18" customFormat="false" ht="15" hidden="false" customHeight="false" outlineLevel="0" collapsed="false">
      <c r="A18" s="20" t="s">
        <v>399</v>
      </c>
      <c r="B18" s="21" t="n">
        <v>0.74</v>
      </c>
      <c r="C18" s="22" t="s">
        <v>400</v>
      </c>
    </row>
    <row r="19" customFormat="false" ht="15" hidden="false" customHeight="false" outlineLevel="0" collapsed="false">
      <c r="A19" s="20" t="s">
        <v>401</v>
      </c>
      <c r="B19" s="21" t="n">
        <v>8.5</v>
      </c>
      <c r="C19" s="22" t="s">
        <v>402</v>
      </c>
    </row>
    <row r="20" customFormat="false" ht="15" hidden="false" customHeight="false" outlineLevel="0" collapsed="false">
      <c r="A20" s="20" t="s">
        <v>403</v>
      </c>
      <c r="B20" s="21" t="n">
        <v>8.3</v>
      </c>
      <c r="C20" s="22" t="s">
        <v>351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2</v>
      </c>
      <c r="E25" s="26" t="n">
        <v>3</v>
      </c>
      <c r="F25" s="27" t="n">
        <f aca="false">D25*E25</f>
        <v>6</v>
      </c>
      <c r="G25" s="28" t="n">
        <f aca="false">F25/B12</f>
        <v>0.685714285714286</v>
      </c>
      <c r="H25" s="29" t="n">
        <f aca="false">G25-1</f>
        <v>-0.314285714285714</v>
      </c>
      <c r="I25" s="29" t="n">
        <f aca="false">G25^(1/C25)-1</f>
        <v>-0.314285714285714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1.5</v>
      </c>
      <c r="D26" s="25" t="n">
        <v>3.5</v>
      </c>
      <c r="E26" s="26" t="n">
        <v>5</v>
      </c>
      <c r="F26" s="27" t="n">
        <f aca="false">D26*E26</f>
        <v>17.5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0.587401051968199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12</v>
      </c>
      <c r="E27" s="26" t="n">
        <v>6.5</v>
      </c>
      <c r="F27" s="27" t="n">
        <f aca="false">D27*E27</f>
        <v>78</v>
      </c>
      <c r="G27" s="28" t="n">
        <f aca="false">F27/B12</f>
        <v>8.91428571428572</v>
      </c>
      <c r="H27" s="29" t="n">
        <f aca="false">G27-1</f>
        <v>7.91428571428572</v>
      </c>
      <c r="I27" s="29" t="n">
        <f aca="false">G27^(1/C27)-1</f>
        <v>0.86832876330165</v>
      </c>
    </row>
    <row r="28" customFormat="false" ht="30" hidden="false" customHeight="true" outlineLevel="0" collapsed="false">
      <c r="A28" s="18" t="s">
        <v>404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405</v>
      </c>
      <c r="E32" s="25" t="n">
        <v>7</v>
      </c>
      <c r="F32" s="28" t="n">
        <f aca="false">E32/B12</f>
        <v>0.8</v>
      </c>
      <c r="G32" s="29" t="n">
        <f aca="false">F32-1</f>
        <v>-0.2</v>
      </c>
      <c r="H32" s="29" t="n">
        <f aca="false">F32^(1/C32)-1</f>
        <v>-0.2</v>
      </c>
    </row>
    <row r="33" customFormat="false" ht="35.05" hidden="false" customHeight="false" outlineLevel="0" collapsed="false">
      <c r="A33" s="20" t="s">
        <v>133</v>
      </c>
      <c r="B33" s="23" t="s">
        <v>135</v>
      </c>
      <c r="C33" s="24" t="n">
        <v>1.5</v>
      </c>
      <c r="D33" s="5" t="s">
        <v>406</v>
      </c>
      <c r="E33" s="25" t="n">
        <v>19.25</v>
      </c>
      <c r="F33" s="28" t="n">
        <f aca="false">E33/B12</f>
        <v>2.2</v>
      </c>
      <c r="G33" s="29" t="n">
        <f aca="false">F33-1</f>
        <v>1.2</v>
      </c>
      <c r="H33" s="29" t="n">
        <f aca="false">F33^(1/C33)-1</f>
        <v>0.691538111622984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407</v>
      </c>
      <c r="E34" s="25" t="n">
        <v>90</v>
      </c>
      <c r="F34" s="28" t="n">
        <f aca="false">E34/B12</f>
        <v>10.2857142857143</v>
      </c>
      <c r="G34" s="29" t="n">
        <f aca="false">F34-1</f>
        <v>9.28571428571429</v>
      </c>
      <c r="H34" s="29" t="n">
        <f aca="false">F34^(1/C34)-1</f>
        <v>0.946300278058653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18.375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0.639882997800068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0.685714285714286</v>
      </c>
      <c r="C40" s="30" t="n">
        <f aca="false">MAX(G27,F34)</f>
        <v>10.2857142857143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2.04166666666667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408</v>
      </c>
    </row>
    <row r="45" customFormat="false" ht="15" hidden="false" customHeight="false" outlineLevel="0" collapsed="false">
      <c r="A45" s="2" t="s">
        <v>409</v>
      </c>
    </row>
    <row r="46" customFormat="false" ht="15" hidden="false" customHeight="false" outlineLevel="0" collapsed="false">
      <c r="A46" s="2" t="s">
        <v>410</v>
      </c>
    </row>
    <row r="47" customFormat="false" ht="15" hidden="false" customHeight="false" outlineLevel="0" collapsed="false">
      <c r="A47" s="2" t="s">
        <v>411</v>
      </c>
    </row>
    <row r="48" customFormat="false" ht="15" hidden="false" customHeight="false" outlineLevel="0" collapsed="false">
      <c r="A48" s="2" t="s">
        <v>412</v>
      </c>
    </row>
    <row r="49" customFormat="false" ht="15" hidden="false" customHeight="false" outlineLevel="0" collapsed="false">
      <c r="A49" s="2" t="s">
        <v>413</v>
      </c>
    </row>
    <row r="50" customFormat="false" ht="15" hidden="false" customHeight="false" outlineLevel="0" collapsed="false">
      <c r="A50" s="2" t="s">
        <v>414</v>
      </c>
    </row>
    <row r="51" customFormat="false" ht="15" hidden="false" customHeight="false" outlineLevel="0" collapsed="false">
      <c r="A51" s="2" t="s">
        <v>415</v>
      </c>
    </row>
    <row r="52" customFormat="false" ht="15" hidden="false" customHeight="false" outlineLevel="0" collapsed="false">
      <c r="A52" s="2" t="s">
        <v>416</v>
      </c>
    </row>
    <row r="53" customFormat="false" ht="15" hidden="false" customHeight="false" outlineLevel="0" collapsed="false">
      <c r="A53" s="2" t="s">
        <v>417</v>
      </c>
    </row>
    <row r="54" customFormat="false" ht="15" hidden="false" customHeight="false" outlineLevel="0" collapsed="false">
      <c r="A54" s="2" t="s">
        <v>418</v>
      </c>
    </row>
    <row r="55" customFormat="false" ht="15" hidden="false" customHeight="false" outlineLevel="0" collapsed="false">
      <c r="A55" s="2" t="s">
        <v>419</v>
      </c>
    </row>
    <row r="56" customFormat="false" ht="15" hidden="false" customHeight="false" outlineLevel="0" collapsed="false">
      <c r="A56" s="2" t="s">
        <v>420</v>
      </c>
    </row>
    <row r="57" customFormat="false" ht="15" hidden="false" customHeight="false" outlineLevel="0" collapsed="false">
      <c r="A5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2026-09-02T15:24:02Z</dcterms:created>
  <dc:creator>openpyxl</dc:creator>
  <dc:description/>
  <dc:language>en-US</dc:language>
  <cp:lastModifiedBy/>
  <dcterms:modified xsi:type="dcterms:W3CDTF">2026-09-02T15:24:02Z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
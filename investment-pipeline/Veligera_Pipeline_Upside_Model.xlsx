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Kalshi" sheetId="7" state="visible" r:id="rId9"/>
    <sheet name="Positron AI" sheetId="8" state="visible" r:id="rId10"/>
    <sheet name="Databri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<sst xmlns="http://schemas.openxmlformats.org/spreadsheetml/2006/main" count="581" uniqueCount="201">
  <si>
    <t xml:space="preserve">Veligera Capital — pipeline сделок: расчёт доходности</t>
  </si>
  <si>
    <t xml:space="preserve">Данные на 24.08.2026. Все суммы в $ млрд. Цена на вторичном рынке — премия 8–15% к оценке раунда; индикативна, фактическая цена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</si>
  <si>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</si>
  <si>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</si>
  <si>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</si>
  <si>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</si>
  <si>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</si>
  <si>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 (+8%)</t>
  </si>
  <si>
    <t xml:space="preserve">Вторичный рынок: верх (+15%)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</si>
  <si>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</si>
  <si>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</si>
  <si>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</si>
  <si>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</si>
  <si>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</si>
  <si>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</si>
  <si>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</si>
  <si>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</si>
  <si>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</si>
  <si>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</si>
  <si>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</si>
  <si>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1–2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</si>
  <si>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</si>
  <si>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</si>
  <si>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</si>
  <si>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</si>
  <si>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</si>
  <si>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</si>
  <si>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</si>
  <si>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</si>
  <si>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</si>
  <si>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</si>
  <si>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</si>
  <si>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</si>
  <si>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Kalshi</t>
  </si>
  <si>
    <t xml:space="preserve">Рынки предсказаний (США)</t>
  </si>
  <si>
    <t xml:space="preserve">Series F $1 млрд, закрыт 07.05.2026; лид Coatue (Sequoia, a16z, IVP, Paradigm, Morgan Stanley, ARK)</t>
  </si>
  <si>
    <t xml:space="preserve">1–2 года (IPO 2027–2028)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</si>
  <si>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</si>
  <si>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</si>
  <si>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</si>
  <si>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</si>
  <si>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</si>
  <si>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</si>
  <si>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</si>
  <si>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</si>
  <si>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</si>
  <si>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</si>
  <si>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</si>
  <si>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</si>
  <si>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Премия 8% (нижняя граница) — 15% (верхняя граница) к оценке раунда. Для 1X и Positron AI, где закрытый раунд устарел, премия считается от оценки идущего раунда. Диапазон индикативен;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</si>
  <si>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</si>
  <si>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</si>
  <si>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</si>
  <si>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</si>
  <si>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</si>
  <si>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</si>
  <si>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</si>
  <si>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</si>
  <si>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</si>
  <si>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</si>
  <si>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</si>
  <si>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</si>
  <si>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</si>
  <si>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</si>
  <si>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</si>
  <si>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</si>
  <si>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</si>
  <si>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</si>
  <si>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</si>
  <si>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</si>
  <si>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</si>
  <si>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</si>
  <si>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</si>
  <si>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</si>
  <si>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</si>
  <si>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</si>
  <si>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</si>
  <si>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</si>
  <si>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</si>
  <si>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</si>
  <si>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</si>
  <si>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</si>
  <si>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</si>
  <si>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</si>
  <si>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</si>
  <si>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</si>
  <si>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</si>
  <si>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</si>
  <si>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</si>
  <si>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</si>
  <si>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</si>
  <si>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</si>
  <si>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</si>
  <si>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</si>
  <si>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</si>
  <si>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</si>
  <si>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</si>
  <si>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</si>
  <si>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</si>
  <si>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2028</t>
  </si>
  <si>
    <t xml:space="preserve">Оптимистичный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</si>
  <si>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</si>
  <si>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</si>
  <si>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</si>
  <si>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</si>
  <si>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</si>
  <si>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</si>
  <si>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</si>
  <si>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</si>
  <si>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</si>
  <si>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</si>
  <si>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</si>
  <si>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</si>
  <si>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</si>
  <si>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</si>
  <si>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</si>
  <si>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</si>
  <si>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</si>
  <si>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</si>
  <si>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</si>
  <si>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</si>
  <si>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</si>
  <si>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</si>
  <si>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</si>
  <si>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</si>
  <si>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</si>
  <si>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</si>
  <si>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</si>
  <si>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</si>
  <si>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</si>
  <si>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</si>
  <si>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</si>
  <si>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</si>
  <si>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</si>
  <si>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</si>
  <si>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</si>
  <si>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</si>
  <si>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</si>
  <si>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</si>
  <si>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</si>
  <si>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150–250 тыс. штук к 2029 при $20 тыс. за робота или $6 тыс./год подписки даёт выручку $3–4 млрд (базовый сценарий — $3.5 млрд).</t>
  </si>
  <si>
    <t xml:space="preserve">Оценка на уровне идущего Series C ($10 млрд)</t>
  </si>
  <si>
    <t xml:space="preserve">Кратный рост к идущему Series C при выходе NEO на серийные поставки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</si>
  <si>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</si>
  <si>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</si>
  <si>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</si>
  <si>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</si>
  <si>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</si>
  <si>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</si>
  <si>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</si>
  <si>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</si>
  <si>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</si>
  <si>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</si>
  <si>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</si>
  <si>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</si>
  <si>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</si>
  <si>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</si>
  <si>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</si>
  <si>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</si>
  <si>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</si>
  <si>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</si>
  <si>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</si>
  <si>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</si>
  <si>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</si>
  <si>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</si>
  <si>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Диапазон — фактические котировки вторичного рынка. Фактические сделки на вторичном рынке идут около $35 млрд: рынок уже отыгрывает раунд по оценке $40 млрд, который обсуждают Sequoia и Wellington (CoinDesk, 13.08.2026).</t>
  </si>
  <si>
    <t xml:space="preserve">биржа</t>
  </si>
  <si>
    <t xml:space="preserve">Выручка: $263.5 млн за 2025 → run-rate ~$4 млрд к июлю 2026 (пик ЧМ по футболу). Базовый сценарий консервативен: $6 млрд выручки к 2028 при мультипликаторе биржевых операторов 12x.</t>
  </si>
  <si>
    <t xml:space="preserve">Оценка идущего раунда ($40 млрд)</t>
  </si>
  <si>
    <t xml:space="preserve">IPO ~2027–28 при мультипликаторах биржевых операторов</t>
  </si>
  <si>
    <t xml:space="preserve">Категория выходит на объёмы $1.5 трлн (Macquarie)</t>
  </si>
  <si>
    <t xml:space="preserve">• Series F $1 млрд @ $22 млрд: TechCrunch/BusinessWire, 07.05.2026</t>
  </si>
  <si>
    <t xml:space="preserve">• Раунд @ $40 млрд в переговорах: CoinDesk, 13.08.2026</t>
  </si>
  <si>
    <t xml:space="preserve">• Выручка 2025 $263.5 млн, run-rate ~$4 млрд (июль 2026); всего привлечено ~$2.8 млрд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</si>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</sst>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0.297785030013053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100</v>
      </c>
      <c r="K6" s="8" t="n">
        <f aca="false">'Figure AI'!B37</f>
        <v>3.17460317460317</v>
      </c>
      <c r="L6" s="9" t="n">
        <f aca="false">'Figure AI'!B38</f>
        <v>2.17460317460317</v>
      </c>
      <c r="M6" s="9" t="n">
        <f aca="false">'Figure AI'!B39</f>
        <v>0.39104071511099</v>
      </c>
      <c r="N6" s="8" t="n">
        <f aca="false">'Figure AI'!B40</f>
        <v>1.23809523809524</v>
      </c>
      <c r="O6" s="8" t="n">
        <f aca="false">'Figure AI'!C40</f>
        <v>6.85714285714286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40</v>
      </c>
      <c r="K7" s="8" t="n">
        <f aca="false">1X!B37</f>
        <v>3.55555555555556</v>
      </c>
      <c r="L7" s="9" t="n">
        <f aca="false">1X!B38</f>
        <v>2.55555555555556</v>
      </c>
      <c r="M7" s="9" t="n">
        <f aca="false">1X!B39</f>
        <v>0.660974586154023</v>
      </c>
      <c r="N7" s="8" t="n">
        <f aca="false">1X!B40</f>
        <v>0.888888888888889</v>
      </c>
      <c r="O7" s="8" t="n">
        <f aca="false">1X!C40</f>
        <v>9.33333333333333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23.8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Kalshi!B6</f>
        <v>22</v>
      </c>
      <c r="E9" s="6" t="n">
        <f aca="false">Kalshi!B7</f>
        <v>22</v>
      </c>
      <c r="F9" s="6" t="n">
        <f aca="false">Kalshi!B10</f>
        <v>30</v>
      </c>
      <c r="G9" s="6" t="n">
        <f aca="false">Kalshi!B11</f>
        <v>40</v>
      </c>
      <c r="H9" s="6" t="n">
        <f aca="false">Kalshi!B12</f>
        <v>35</v>
      </c>
      <c r="I9" s="7" t="s">
        <v>36</v>
      </c>
      <c r="J9" s="6" t="n">
        <f aca="false">Kalshi!B36</f>
        <v>75</v>
      </c>
      <c r="K9" s="8" t="n">
        <f aca="false">Kalshi!B37</f>
        <v>2.14285714285714</v>
      </c>
      <c r="L9" s="9" t="n">
        <f aca="false">Kalshi!B38</f>
        <v>1.14285714285714</v>
      </c>
      <c r="M9" s="9" t="n">
        <f aca="false">Kalshi!B39</f>
        <v>0.4638501094228</v>
      </c>
      <c r="N9" s="8" t="n">
        <f aca="false">Kalshi!B40</f>
        <v>1.14285714285714</v>
      </c>
      <c r="O9" s="8" t="n">
        <f aca="false">Kalshi!C40</f>
        <v>4.28571428571429</v>
      </c>
    </row>
    <row r="10" customFormat="false" ht="35.0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'Positron AI'!B6</f>
        <v>1</v>
      </c>
      <c r="E10" s="6" t="n">
        <f aca="false">'Positron AI'!B7</f>
        <v>3.5</v>
      </c>
      <c r="F10" s="6" t="n">
        <f aca="false">'Positron AI'!B10</f>
        <v>4.5</v>
      </c>
      <c r="G10" s="6" t="n">
        <f aca="false">'Positron AI'!B11</f>
        <v>5</v>
      </c>
      <c r="H10" s="6" t="n">
        <f aca="false">'Positron AI'!B12</f>
        <v>4.75</v>
      </c>
      <c r="I10" s="7" t="s">
        <v>40</v>
      </c>
      <c r="J10" s="6" t="n">
        <f aca="false">'Positron AI'!B36</f>
        <v>24</v>
      </c>
      <c r="K10" s="8" t="n">
        <f aca="false">'Positron AI'!B37</f>
        <v>5.05263157894737</v>
      </c>
      <c r="L10" s="9" t="n">
        <f aca="false">'Positron AI'!B38</f>
        <v>4.05263157894737</v>
      </c>
      <c r="M10" s="9" t="n">
        <f aca="false">'Positron AI'!B39</f>
        <v>0.588565175565576</v>
      </c>
      <c r="N10" s="8" t="n">
        <f aca="false">'Positron AI'!B40</f>
        <v>1.05263157894737</v>
      </c>
      <c r="O10" s="8" t="n">
        <f aca="false">'Positron AI'!C40</f>
        <v>8.42105263157895</v>
      </c>
    </row>
    <row r="11" customFormat="false" ht="23.8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Databricks!B6</f>
        <v>190</v>
      </c>
      <c r="E11" s="6" t="n">
        <f aca="false">Databricks!B7</f>
        <v>190</v>
      </c>
      <c r="F11" s="6" t="n">
        <f aca="false">Databricks!B10</f>
        <v>195</v>
      </c>
      <c r="G11" s="6" t="n">
        <f aca="false">Databricks!B11</f>
        <v>210</v>
      </c>
      <c r="H11" s="6" t="n">
        <f aca="false">Databricks!B12</f>
        <v>202.5</v>
      </c>
      <c r="I11" s="7" t="s">
        <v>36</v>
      </c>
      <c r="J11" s="6" t="n">
        <f aca="false">Databricks!B36</f>
        <v>425</v>
      </c>
      <c r="K11" s="8" t="n">
        <f aca="false">Databricks!B37</f>
        <v>2.09876543209877</v>
      </c>
      <c r="L11" s="9" t="n">
        <f aca="false">Databricks!B38</f>
        <v>1.09876543209877</v>
      </c>
      <c r="M11" s="9" t="n">
        <f aca="false">Databricks!B39</f>
        <v>0.448711645600589</v>
      </c>
      <c r="N11" s="8" t="n">
        <f aca="false">Databricks!B40</f>
        <v>0.938271604938272</v>
      </c>
      <c r="O11" s="8" t="n">
        <f aca="false">Databricks!C40</f>
        <v>3.08641975308642</v>
      </c>
    </row>
    <row r="13" customFormat="false" ht="15" hidden="false" customHeight="false" outlineLevel="0" collapsed="false">
      <c r="A13" s="2" t="s">
        <v>44</v>
      </c>
    </row>
    <row r="14" customFormat="false" ht="15" hidden="false" customHeight="false" outlineLevel="0" collapsed="false">
      <c r="A14" s="2" t="s">
        <v>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46</v>
      </c>
    </row>
    <row r="3" customFormat="false" ht="45.75" hidden="false" customHeight="true" outlineLevel="0" collapsed="false">
      <c r="A3" s="10" t="s">
        <v>5</v>
      </c>
      <c r="B3" s="11" t="s">
        <v>47</v>
      </c>
    </row>
    <row r="4" customFormat="false" ht="45.75" hidden="false" customHeight="true" outlineLevel="0" collapsed="false">
      <c r="A4" s="10" t="s">
        <v>48</v>
      </c>
      <c r="B4" s="11" t="s">
        <v>49</v>
      </c>
    </row>
    <row r="5" customFormat="false" ht="45.75" hidden="false" customHeight="true" outlineLevel="0" collapsed="false">
      <c r="A5" s="10" t="s">
        <v>50</v>
      </c>
      <c r="B5" s="11" t="s">
        <v>51</v>
      </c>
    </row>
    <row r="6" customFormat="false" ht="45.75" hidden="false" customHeight="true" outlineLevel="0" collapsed="false">
      <c r="A6" s="10" t="s">
        <v>52</v>
      </c>
      <c r="B6" s="11" t="s">
        <v>53</v>
      </c>
    </row>
    <row r="7" customFormat="false" ht="45.75" hidden="false" customHeight="true" outlineLevel="0" collapsed="false">
      <c r="A7" s="10" t="s">
        <v>54</v>
      </c>
      <c r="B7" s="11" t="s">
        <v>55</v>
      </c>
    </row>
    <row r="8" customFormat="false" ht="45.75" hidden="false" customHeight="true" outlineLevel="0" collapsed="false">
      <c r="A8" s="10" t="s">
        <v>56</v>
      </c>
      <c r="B8" s="11" t="s">
        <v>57</v>
      </c>
    </row>
    <row r="9" customFormat="false" ht="45.75" hidden="false" customHeight="true" outlineLevel="0" collapsed="false">
      <c r="A9" s="10" t="s">
        <v>58</v>
      </c>
      <c r="B9" s="11" t="s">
        <v>59</v>
      </c>
    </row>
    <row r="10" customFormat="false" ht="45.75" hidden="false" customHeight="true" outlineLevel="0" collapsed="false">
      <c r="A10" s="10" t="s">
        <v>60</v>
      </c>
      <c r="B10" s="11" t="s">
        <v>61</v>
      </c>
    </row>
    <row r="11" customFormat="false" ht="45.75" hidden="false" customHeight="true" outlineLevel="0" collapsed="false">
      <c r="A11" s="10" t="s">
        <v>62</v>
      </c>
      <c r="B11" s="11" t="s">
        <v>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19</v>
      </c>
    </row>
    <row r="6" customFormat="false" ht="15" hidden="false" customHeight="false" outlineLevel="0" collapsed="false">
      <c r="A6" s="14" t="s">
        <v>66</v>
      </c>
      <c r="B6" s="15" t="n">
        <v>852</v>
      </c>
    </row>
    <row r="7" customFormat="false" ht="15" hidden="false" customHeight="false" outlineLevel="0" collapsed="false">
      <c r="A7" s="14" t="s">
        <v>67</v>
      </c>
      <c r="B7" s="15" t="n">
        <v>852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71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73</v>
      </c>
      <c r="B13" s="18" t="s">
        <v>74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78</v>
      </c>
      <c r="B17" s="21" t="n">
        <v>10.5</v>
      </c>
      <c r="C17" s="22" t="s">
        <v>79</v>
      </c>
    </row>
    <row r="18" customFormat="false" ht="15" hidden="false" customHeight="false" outlineLevel="0" collapsed="false">
      <c r="A18" s="20" t="s">
        <v>80</v>
      </c>
      <c r="B18" s="21" t="n">
        <v>24.7</v>
      </c>
      <c r="C18" s="22" t="s">
        <v>81</v>
      </c>
    </row>
    <row r="19" customFormat="false" ht="15" hidden="false" customHeight="false" outlineLevel="0" collapsed="false">
      <c r="A19" s="20" t="s">
        <v>82</v>
      </c>
      <c r="B19" s="21" t="n">
        <v>9.4</v>
      </c>
      <c r="C19" s="22" t="s">
        <v>81</v>
      </c>
    </row>
    <row r="20" customFormat="false" ht="15" hidden="false" customHeight="false" outlineLevel="0" collapsed="false">
      <c r="A20" s="20" t="s">
        <v>83</v>
      </c>
      <c r="B20" s="21" t="n">
        <v>7</v>
      </c>
      <c r="C20" s="22" t="s">
        <v>81</v>
      </c>
    </row>
    <row r="21" customFormat="false" ht="15" hidden="false" customHeight="false" outlineLevel="0" collapsed="false">
      <c r="A21" s="20" t="s">
        <v>84</v>
      </c>
      <c r="B21" s="21" t="n">
        <v>61</v>
      </c>
      <c r="C21" s="22" t="s">
        <v>85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97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98</v>
      </c>
      <c r="B26" s="23" t="s">
        <v>99</v>
      </c>
      <c r="C26" s="24" t="n">
        <v>2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0.31790692809846</v>
      </c>
    </row>
    <row r="27" customFormat="false" ht="15" hidden="false" customHeight="false" outlineLevel="0" collapsed="false">
      <c r="A27" s="20" t="s">
        <v>100</v>
      </c>
      <c r="B27" s="23" t="s">
        <v>99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101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23.85" hidden="false" customHeight="false" outlineLevel="0" collapsed="false">
      <c r="A32" s="20" t="s">
        <v>96</v>
      </c>
      <c r="B32" s="23" t="s">
        <v>97</v>
      </c>
      <c r="C32" s="24" t="n">
        <v>1.5</v>
      </c>
      <c r="D32" s="5" t="s">
        <v>104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98</v>
      </c>
      <c r="B33" s="23" t="s">
        <v>99</v>
      </c>
      <c r="C33" s="24" t="n">
        <v>2</v>
      </c>
      <c r="D33" s="5" t="s">
        <v>105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0.277346193137179</v>
      </c>
    </row>
    <row r="34" customFormat="false" ht="15" hidden="false" customHeight="false" outlineLevel="0" collapsed="false">
      <c r="A34" s="20" t="s">
        <v>100</v>
      </c>
      <c r="B34" s="23" t="s">
        <v>99</v>
      </c>
      <c r="C34" s="24" t="n">
        <v>2</v>
      </c>
      <c r="D34" s="5" t="s">
        <v>106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0.297785030013053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113</v>
      </c>
    </row>
    <row r="45" customFormat="false" ht="15" hidden="false" customHeight="false" outlineLevel="0" collapsed="false">
      <c r="A45" s="2" t="s">
        <v>114</v>
      </c>
    </row>
    <row r="46" customFormat="false" ht="15" hidden="false" customHeight="false" outlineLevel="0" collapsed="false">
      <c r="A46" s="2" t="s">
        <v>115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23</v>
      </c>
    </row>
    <row r="6" customFormat="false" ht="15" hidden="false" customHeight="false" outlineLevel="0" collapsed="false">
      <c r="A6" s="14" t="s">
        <v>66</v>
      </c>
      <c r="B6" s="15" t="n">
        <v>39</v>
      </c>
    </row>
    <row r="7" customFormat="false" ht="15" hidden="false" customHeight="false" outlineLevel="0" collapsed="false">
      <c r="A7" s="14" t="s">
        <v>67</v>
      </c>
      <c r="B7" s="15" t="n">
        <v>39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30</v>
      </c>
    </row>
    <row r="11" customFormat="false" ht="15" hidden="false" customHeight="false" outlineLevel="0" collapsed="false">
      <c r="A11" s="14" t="s">
        <v>71</v>
      </c>
      <c r="B11" s="15" t="n">
        <v>33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73</v>
      </c>
      <c r="B13" s="18" t="s">
        <v>117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118</v>
      </c>
      <c r="B17" s="21" t="n">
        <v>15</v>
      </c>
      <c r="C17" s="22" t="s">
        <v>119</v>
      </c>
    </row>
    <row r="18" customFormat="false" ht="15" hidden="false" customHeight="false" outlineLevel="0" collapsed="false">
      <c r="A18" s="20" t="s">
        <v>120</v>
      </c>
      <c r="B18" s="21" t="n">
        <v>15.7</v>
      </c>
      <c r="C18" s="22" t="s">
        <v>121</v>
      </c>
    </row>
    <row r="19" customFormat="false" ht="15" hidden="false" customHeight="false" outlineLevel="0" collapsed="false">
      <c r="A19" s="20" t="s">
        <v>122</v>
      </c>
      <c r="B19" s="21" t="n">
        <v>7.3</v>
      </c>
      <c r="C19" s="22" t="s">
        <v>123</v>
      </c>
    </row>
    <row r="20" customFormat="false" ht="15" hidden="false" customHeight="false" outlineLevel="0" collapsed="false">
      <c r="A20" s="20" t="s">
        <v>124</v>
      </c>
      <c r="B20" s="21" t="n">
        <v>6.3</v>
      </c>
      <c r="C20" s="22" t="s">
        <v>125</v>
      </c>
    </row>
    <row r="21" customFormat="false" ht="15" hidden="false" customHeight="false" outlineLevel="0" collapsed="false">
      <c r="A21" s="20" t="s">
        <v>126</v>
      </c>
      <c r="B21" s="21" t="n">
        <v>2.6</v>
      </c>
      <c r="C21" s="22" t="s">
        <v>127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128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98</v>
      </c>
      <c r="B26" s="23" t="s">
        <v>129</v>
      </c>
      <c r="C26" s="24" t="n">
        <v>3.5</v>
      </c>
      <c r="D26" s="25" t="n">
        <v>7</v>
      </c>
      <c r="E26" s="26" t="n">
        <v>15</v>
      </c>
      <c r="F26" s="27" t="n">
        <f aca="false">D26*E26</f>
        <v>105</v>
      </c>
      <c r="G26" s="28" t="n">
        <f aca="false">F26/B12</f>
        <v>3.33333333333333</v>
      </c>
      <c r="H26" s="29" t="n">
        <f aca="false">G26-1</f>
        <v>2.33333333333333</v>
      </c>
      <c r="I26" s="29" t="n">
        <f aca="false">G26^(1/C26)-1</f>
        <v>0.4105676750826</v>
      </c>
    </row>
    <row r="27" customFormat="false" ht="15" hidden="false" customHeight="false" outlineLevel="0" collapsed="false">
      <c r="A27" s="20" t="s">
        <v>100</v>
      </c>
      <c r="B27" s="23" t="s">
        <v>129</v>
      </c>
      <c r="C27" s="24" t="n">
        <v>3.5</v>
      </c>
      <c r="D27" s="25" t="n">
        <v>12</v>
      </c>
      <c r="E27" s="26" t="n">
        <v>18</v>
      </c>
      <c r="F27" s="27" t="n">
        <f aca="false">D27*E27</f>
        <v>216</v>
      </c>
      <c r="G27" s="28" t="n">
        <f aca="false">F27/B12</f>
        <v>6.85714285714286</v>
      </c>
      <c r="H27" s="29" t="n">
        <f aca="false">G27-1</f>
        <v>5.85714285714286</v>
      </c>
      <c r="I27" s="29" t="n">
        <f aca="false">G27^(1/C27)-1</f>
        <v>0.733397063047994</v>
      </c>
    </row>
    <row r="28" customFormat="false" ht="30" hidden="false" customHeight="true" outlineLevel="0" collapsed="false">
      <c r="A28" s="18" t="s">
        <v>130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128</v>
      </c>
      <c r="C32" s="24" t="n">
        <v>3</v>
      </c>
      <c r="D32" s="5" t="s">
        <v>131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98</v>
      </c>
      <c r="B33" s="23" t="s">
        <v>129</v>
      </c>
      <c r="C33" s="24" t="n">
        <v>3.5</v>
      </c>
      <c r="D33" s="5" t="s">
        <v>132</v>
      </c>
      <c r="E33" s="25" t="n">
        <v>95</v>
      </c>
      <c r="F33" s="28" t="n">
        <f aca="false">E33/B12</f>
        <v>3.01587301587302</v>
      </c>
      <c r="G33" s="29" t="n">
        <f aca="false">F33-1</f>
        <v>2.01587301587302</v>
      </c>
      <c r="H33" s="29" t="n">
        <f aca="false">F33^(1/C33)-1</f>
        <v>0.370803351494498</v>
      </c>
    </row>
    <row r="34" customFormat="false" ht="15" hidden="false" customHeight="false" outlineLevel="0" collapsed="false">
      <c r="A34" s="20" t="s">
        <v>100</v>
      </c>
      <c r="B34" s="23" t="s">
        <v>129</v>
      </c>
      <c r="C34" s="24" t="n">
        <v>3.5</v>
      </c>
      <c r="D34" s="5" t="s">
        <v>133</v>
      </c>
      <c r="E34" s="25" t="n">
        <v>180</v>
      </c>
      <c r="F34" s="28" t="n">
        <f aca="false">E34/B12</f>
        <v>5.71428571428571</v>
      </c>
      <c r="G34" s="29" t="n">
        <f aca="false">F34-1</f>
        <v>4.71428571428571</v>
      </c>
      <c r="H34" s="29" t="n">
        <f aca="false">F34^(1/C34)-1</f>
        <v>0.645412693099038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100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3.17460317460317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2.17460317460317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0.39104071511099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1.23809523809524</v>
      </c>
      <c r="C40" s="30" t="n">
        <f aca="false">MAX(G27,F34)</f>
        <v>6.85714285714286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3.03030303030303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134</v>
      </c>
    </row>
    <row r="45" customFormat="false" ht="15" hidden="false" customHeight="false" outlineLevel="0" collapsed="false">
      <c r="A45" s="2" t="s">
        <v>135</v>
      </c>
    </row>
    <row r="46" customFormat="false" ht="15" hidden="false" customHeight="false" outlineLevel="0" collapsed="false">
      <c r="A46" s="2" t="s">
        <v>136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27</v>
      </c>
    </row>
    <row r="6" customFormat="false" ht="15" hidden="false" customHeight="false" outlineLevel="0" collapsed="false">
      <c r="A6" s="14" t="s">
        <v>66</v>
      </c>
      <c r="B6" s="15" t="n">
        <v>10</v>
      </c>
    </row>
    <row r="7" customFormat="false" ht="15" hidden="false" customHeight="false" outlineLevel="0" collapsed="false">
      <c r="A7" s="14" t="s">
        <v>67</v>
      </c>
      <c r="B7" s="15" t="n">
        <v>10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10.5</v>
      </c>
    </row>
    <row r="11" customFormat="false" ht="15" hidden="false" customHeight="false" outlineLevel="0" collapsed="false">
      <c r="A11" s="14" t="s">
        <v>71</v>
      </c>
      <c r="B11" s="15" t="n">
        <v>12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73</v>
      </c>
      <c r="B13" s="18" t="s">
        <v>137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118</v>
      </c>
      <c r="B17" s="21" t="n">
        <v>15</v>
      </c>
      <c r="C17" s="22" t="s">
        <v>119</v>
      </c>
    </row>
    <row r="18" customFormat="false" ht="15" hidden="false" customHeight="false" outlineLevel="0" collapsed="false">
      <c r="A18" s="20" t="s">
        <v>120</v>
      </c>
      <c r="B18" s="21" t="n">
        <v>15.7</v>
      </c>
      <c r="C18" s="22" t="s">
        <v>121</v>
      </c>
    </row>
    <row r="19" customFormat="false" ht="15" hidden="false" customHeight="false" outlineLevel="0" collapsed="false">
      <c r="A19" s="20" t="s">
        <v>138</v>
      </c>
      <c r="B19" s="21" t="n">
        <v>1</v>
      </c>
      <c r="C19" s="22" t="s">
        <v>139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128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98</v>
      </c>
      <c r="B26" s="23" t="s">
        <v>128</v>
      </c>
      <c r="C26" s="24" t="n">
        <v>2.5</v>
      </c>
      <c r="D26" s="25" t="n">
        <v>3.5</v>
      </c>
      <c r="E26" s="26" t="n">
        <v>12</v>
      </c>
      <c r="F26" s="27" t="n">
        <f aca="false">D26*E26</f>
        <v>42</v>
      </c>
      <c r="G26" s="28" t="n">
        <f aca="false">F26/B12</f>
        <v>3.73333333333333</v>
      </c>
      <c r="H26" s="29" t="n">
        <f aca="false">G26-1</f>
        <v>2.73333333333333</v>
      </c>
      <c r="I26" s="29" t="n">
        <f aca="false">G26^(1/C26)-1</f>
        <v>0.693708656418214</v>
      </c>
    </row>
    <row r="27" customFormat="false" ht="15" hidden="false" customHeight="false" outlineLevel="0" collapsed="false">
      <c r="A27" s="20" t="s">
        <v>100</v>
      </c>
      <c r="B27" s="23" t="s">
        <v>129</v>
      </c>
      <c r="C27" s="24" t="n">
        <v>3.5</v>
      </c>
      <c r="D27" s="25" t="n">
        <v>7</v>
      </c>
      <c r="E27" s="26" t="n">
        <v>15</v>
      </c>
      <c r="F27" s="27" t="n">
        <f aca="false">D27*E27</f>
        <v>105</v>
      </c>
      <c r="G27" s="28" t="n">
        <f aca="false">F27/B12</f>
        <v>9.33333333333333</v>
      </c>
      <c r="H27" s="29" t="n">
        <f aca="false">G27-1</f>
        <v>8.33333333333333</v>
      </c>
      <c r="I27" s="29" t="n">
        <f aca="false">G27^(1/C27)-1</f>
        <v>0.893011990144175</v>
      </c>
    </row>
    <row r="28" customFormat="false" ht="30" hidden="false" customHeight="true" outlineLevel="0" collapsed="false">
      <c r="A28" s="18" t="s">
        <v>140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128</v>
      </c>
      <c r="C32" s="24" t="n">
        <v>2.5</v>
      </c>
      <c r="D32" s="5" t="s">
        <v>141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98</v>
      </c>
      <c r="B33" s="23" t="s">
        <v>128</v>
      </c>
      <c r="C33" s="24" t="n">
        <v>2.5</v>
      </c>
      <c r="D33" s="5" t="s">
        <v>142</v>
      </c>
      <c r="E33" s="25" t="n">
        <v>38</v>
      </c>
      <c r="F33" s="28" t="n">
        <f aca="false">E33/B12</f>
        <v>3.37777777777778</v>
      </c>
      <c r="G33" s="29" t="n">
        <f aca="false">F33-1</f>
        <v>2.37777777777778</v>
      </c>
      <c r="H33" s="29" t="n">
        <f aca="false">F33^(1/C33)-1</f>
        <v>0.62724306623747</v>
      </c>
    </row>
    <row r="34" customFormat="false" ht="15" hidden="false" customHeight="false" outlineLevel="0" collapsed="false">
      <c r="A34" s="20" t="s">
        <v>100</v>
      </c>
      <c r="B34" s="23" t="s">
        <v>129</v>
      </c>
      <c r="C34" s="24" t="n">
        <v>3.5</v>
      </c>
      <c r="D34" s="5" t="s">
        <v>143</v>
      </c>
      <c r="E34" s="25" t="n">
        <v>90</v>
      </c>
      <c r="F34" s="28" t="n">
        <f aca="false">E34/B12</f>
        <v>8</v>
      </c>
      <c r="G34" s="29" t="n">
        <f aca="false">F34-1</f>
        <v>7</v>
      </c>
      <c r="H34" s="29" t="n">
        <f aca="false">F34^(1/C34)-1</f>
        <v>0.811447328527813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40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3.55555555555556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2.55555555555556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0.660974586154023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0.888888888888889</v>
      </c>
      <c r="C40" s="30" t="n">
        <f aca="false">MAX(G27,F34)</f>
        <v>9.33333333333333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3.33333333333333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144</v>
      </c>
    </row>
    <row r="45" customFormat="false" ht="15" hidden="false" customHeight="false" outlineLevel="0" collapsed="false">
      <c r="A45" s="2" t="s">
        <v>145</v>
      </c>
    </row>
    <row r="46" customFormat="false" ht="15" hidden="false" customHeight="false" outlineLevel="0" collapsed="false">
      <c r="A46" s="2" t="s">
        <v>146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31</v>
      </c>
    </row>
    <row r="6" customFormat="false" ht="15" hidden="false" customHeight="false" outlineLevel="0" collapsed="false">
      <c r="A6" s="14" t="s">
        <v>66</v>
      </c>
      <c r="B6" s="15" t="n">
        <v>15</v>
      </c>
    </row>
    <row r="7" customFormat="false" ht="15" hidden="false" customHeight="false" outlineLevel="0" collapsed="false">
      <c r="A7" s="14" t="s">
        <v>67</v>
      </c>
      <c r="B7" s="15" t="n">
        <v>15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13.5</v>
      </c>
    </row>
    <row r="11" customFormat="false" ht="15" hidden="false" customHeight="false" outlineLevel="0" collapsed="false">
      <c r="A11" s="14" t="s">
        <v>71</v>
      </c>
      <c r="B11" s="15" t="n">
        <v>15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73</v>
      </c>
      <c r="B13" s="18" t="s">
        <v>147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148</v>
      </c>
      <c r="B17" s="21" t="n">
        <v>20.7</v>
      </c>
      <c r="C17" s="22" t="s">
        <v>149</v>
      </c>
    </row>
    <row r="18" customFormat="false" ht="15" hidden="false" customHeight="false" outlineLevel="0" collapsed="false">
      <c r="A18" s="20" t="s">
        <v>150</v>
      </c>
      <c r="B18" s="21" t="n">
        <v>17</v>
      </c>
      <c r="C18" s="22" t="s">
        <v>151</v>
      </c>
    </row>
    <row r="19" customFormat="false" ht="15" hidden="false" customHeight="false" outlineLevel="0" collapsed="false">
      <c r="A19" s="20" t="s">
        <v>152</v>
      </c>
      <c r="B19" s="21" t="n">
        <v>9</v>
      </c>
      <c r="C19" s="22" t="s">
        <v>153</v>
      </c>
    </row>
    <row r="20" customFormat="false" ht="15" hidden="false" customHeight="false" outlineLevel="0" collapsed="false">
      <c r="A20" s="20" t="s">
        <v>154</v>
      </c>
      <c r="B20" s="21" t="n">
        <v>5.9</v>
      </c>
      <c r="C20" s="22" t="s">
        <v>155</v>
      </c>
    </row>
    <row r="21" customFormat="false" ht="15" hidden="false" customHeight="false" outlineLevel="0" collapsed="false">
      <c r="A21" s="20" t="s">
        <v>156</v>
      </c>
      <c r="B21" s="21" t="n">
        <v>2.1</v>
      </c>
      <c r="C21" s="22" t="s">
        <v>157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99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98</v>
      </c>
      <c r="B26" s="23" t="s">
        <v>128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100</v>
      </c>
      <c r="B27" s="23" t="s">
        <v>129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158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99</v>
      </c>
      <c r="C32" s="24" t="n">
        <v>2</v>
      </c>
      <c r="D32" s="5" t="s">
        <v>159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98</v>
      </c>
      <c r="B33" s="23" t="s">
        <v>128</v>
      </c>
      <c r="C33" s="24" t="n">
        <v>2.5</v>
      </c>
      <c r="D33" s="5" t="s">
        <v>160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100</v>
      </c>
      <c r="B34" s="23" t="s">
        <v>129</v>
      </c>
      <c r="C34" s="24" t="n">
        <v>3.5</v>
      </c>
      <c r="D34" s="5" t="s">
        <v>161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162</v>
      </c>
    </row>
    <row r="45" customFormat="false" ht="15" hidden="false" customHeight="false" outlineLevel="0" collapsed="false">
      <c r="A45" s="2" t="s">
        <v>163</v>
      </c>
    </row>
    <row r="46" customFormat="false" ht="15" hidden="false" customHeight="false" outlineLevel="0" collapsed="false">
      <c r="A46" s="2" t="s">
        <v>164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35</v>
      </c>
    </row>
    <row r="6" customFormat="false" ht="15" hidden="false" customHeight="false" outlineLevel="0" collapsed="false">
      <c r="A6" s="14" t="s">
        <v>66</v>
      </c>
      <c r="B6" s="15" t="n">
        <v>22</v>
      </c>
    </row>
    <row r="7" customFormat="false" ht="15" hidden="false" customHeight="false" outlineLevel="0" collapsed="false">
      <c r="A7" s="14" t="s">
        <v>67</v>
      </c>
      <c r="B7" s="15" t="n">
        <v>22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30</v>
      </c>
    </row>
    <row r="11" customFormat="false" ht="15" hidden="false" customHeight="false" outlineLevel="0" collapsed="false">
      <c r="A11" s="14" t="s">
        <v>71</v>
      </c>
      <c r="B11" s="15" t="n">
        <v>40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35</v>
      </c>
    </row>
    <row r="13" customFormat="false" ht="42" hidden="false" customHeight="true" outlineLevel="0" collapsed="false">
      <c r="A13" s="14" t="s">
        <v>73</v>
      </c>
      <c r="B13" s="18" t="s">
        <v>165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148</v>
      </c>
      <c r="B17" s="21" t="n">
        <v>20</v>
      </c>
      <c r="C17" s="22" t="s">
        <v>149</v>
      </c>
    </row>
    <row r="18" customFormat="false" ht="15" hidden="false" customHeight="false" outlineLevel="0" collapsed="false">
      <c r="A18" s="20" t="s">
        <v>150</v>
      </c>
      <c r="B18" s="21" t="n">
        <v>13</v>
      </c>
      <c r="C18" s="22" t="s">
        <v>151</v>
      </c>
    </row>
    <row r="19" customFormat="false" ht="15" hidden="false" customHeight="false" outlineLevel="0" collapsed="false">
      <c r="A19" s="20" t="s">
        <v>154</v>
      </c>
      <c r="B19" s="21" t="n">
        <v>7</v>
      </c>
      <c r="C19" s="22" t="s">
        <v>166</v>
      </c>
    </row>
    <row r="20" customFormat="false" ht="15" hidden="false" customHeight="false" outlineLevel="0" collapsed="false">
      <c r="A20" s="20" t="s">
        <v>156</v>
      </c>
      <c r="B20" s="21" t="n">
        <v>2</v>
      </c>
      <c r="C20" s="22" t="s">
        <v>157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99</v>
      </c>
      <c r="C25" s="24" t="n">
        <v>2</v>
      </c>
      <c r="D25" s="25" t="n">
        <v>4</v>
      </c>
      <c r="E25" s="26" t="n">
        <v>10</v>
      </c>
      <c r="F25" s="27" t="n">
        <f aca="false">D25*E25</f>
        <v>40</v>
      </c>
      <c r="G25" s="28" t="n">
        <f aca="false">F25/B12</f>
        <v>1.14285714285714</v>
      </c>
      <c r="H25" s="29" t="n">
        <f aca="false">G25-1</f>
        <v>0.142857142857143</v>
      </c>
      <c r="I25" s="29" t="n">
        <f aca="false">G25^(1/C25)-1</f>
        <v>0.0690449676496976</v>
      </c>
    </row>
    <row r="26" customFormat="false" ht="15" hidden="false" customHeight="false" outlineLevel="0" collapsed="false">
      <c r="A26" s="20" t="s">
        <v>98</v>
      </c>
      <c r="B26" s="23" t="s">
        <v>99</v>
      </c>
      <c r="C26" s="24" t="n">
        <v>2</v>
      </c>
      <c r="D26" s="25" t="n">
        <v>6</v>
      </c>
      <c r="E26" s="26" t="n">
        <v>12</v>
      </c>
      <c r="F26" s="27" t="n">
        <f aca="false">D26*E26</f>
        <v>72</v>
      </c>
      <c r="G26" s="28" t="n">
        <f aca="false">F26/B12</f>
        <v>2.05714285714286</v>
      </c>
      <c r="H26" s="29" t="n">
        <f aca="false">G26-1</f>
        <v>1.05714285714286</v>
      </c>
      <c r="I26" s="29" t="n">
        <f aca="false">G26^(1/C26)-1</f>
        <v>0.434274331201272</v>
      </c>
    </row>
    <row r="27" customFormat="false" ht="15" hidden="false" customHeight="false" outlineLevel="0" collapsed="false">
      <c r="A27" s="20" t="s">
        <v>100</v>
      </c>
      <c r="B27" s="23" t="s">
        <v>128</v>
      </c>
      <c r="C27" s="24" t="n">
        <v>3</v>
      </c>
      <c r="D27" s="25" t="n">
        <v>10</v>
      </c>
      <c r="E27" s="26" t="n">
        <v>15</v>
      </c>
      <c r="F27" s="27" t="n">
        <f aca="false">D27*E27</f>
        <v>150</v>
      </c>
      <c r="G27" s="28" t="n">
        <f aca="false">F27/B12</f>
        <v>4.28571428571429</v>
      </c>
      <c r="H27" s="29" t="n">
        <f aca="false">G27-1</f>
        <v>3.28571428571429</v>
      </c>
      <c r="I27" s="29" t="n">
        <f aca="false">G27^(1/C27)-1</f>
        <v>0.62433052162942</v>
      </c>
    </row>
    <row r="28" customFormat="false" ht="30" hidden="false" customHeight="true" outlineLevel="0" collapsed="false">
      <c r="A28" s="18" t="s">
        <v>167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99</v>
      </c>
      <c r="C32" s="24" t="n">
        <v>2</v>
      </c>
      <c r="D32" s="5" t="s">
        <v>168</v>
      </c>
      <c r="E32" s="25" t="n">
        <v>40</v>
      </c>
      <c r="F32" s="28" t="n">
        <f aca="false">E32/B12</f>
        <v>1.14285714285714</v>
      </c>
      <c r="G32" s="29" t="n">
        <f aca="false">F32-1</f>
        <v>0.142857142857143</v>
      </c>
      <c r="H32" s="29" t="n">
        <f aca="false">F32^(1/C32)-1</f>
        <v>0.0690449676496976</v>
      </c>
    </row>
    <row r="33" customFormat="false" ht="23.85" hidden="false" customHeight="false" outlineLevel="0" collapsed="false">
      <c r="A33" s="20" t="s">
        <v>98</v>
      </c>
      <c r="B33" s="23" t="s">
        <v>99</v>
      </c>
      <c r="C33" s="24" t="n">
        <v>2</v>
      </c>
      <c r="D33" s="5" t="s">
        <v>169</v>
      </c>
      <c r="E33" s="25" t="n">
        <v>78</v>
      </c>
      <c r="F33" s="28" t="n">
        <f aca="false">E33/B12</f>
        <v>2.22857142857143</v>
      </c>
      <c r="G33" s="29" t="n">
        <f aca="false">F33-1</f>
        <v>1.22857142857143</v>
      </c>
      <c r="H33" s="29" t="n">
        <f aca="false">F33^(1/C33)-1</f>
        <v>0.492840054584358</v>
      </c>
    </row>
    <row r="34" customFormat="false" ht="15" hidden="false" customHeight="false" outlineLevel="0" collapsed="false">
      <c r="A34" s="20" t="s">
        <v>100</v>
      </c>
      <c r="B34" s="23" t="s">
        <v>128</v>
      </c>
      <c r="C34" s="24" t="n">
        <v>3</v>
      </c>
      <c r="D34" s="5" t="s">
        <v>170</v>
      </c>
      <c r="E34" s="25" t="n">
        <v>150</v>
      </c>
      <c r="F34" s="28" t="n">
        <f aca="false">E34/B12</f>
        <v>4.28571428571429</v>
      </c>
      <c r="G34" s="29" t="n">
        <f aca="false">F34-1</f>
        <v>3.28571428571429</v>
      </c>
      <c r="H34" s="29" t="n">
        <f aca="false">F34^(1/C34)-1</f>
        <v>0.62433052162942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2.14285714285714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1.14285714285714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0.4638501094228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1.14285714285714</v>
      </c>
      <c r="C40" s="30" t="n">
        <f aca="false">MAX(G27,F34)</f>
        <v>4.28571428571429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1.875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171</v>
      </c>
    </row>
    <row r="45" customFormat="false" ht="15" hidden="false" customHeight="false" outlineLevel="0" collapsed="false">
      <c r="A45" s="2" t="s">
        <v>172</v>
      </c>
    </row>
    <row r="46" customFormat="false" ht="15" hidden="false" customHeight="false" outlineLevel="0" collapsed="false">
      <c r="A46" s="2" t="s">
        <v>173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39</v>
      </c>
    </row>
    <row r="6" customFormat="false" ht="15" hidden="false" customHeight="false" outlineLevel="0" collapsed="false">
      <c r="A6" s="14" t="s">
        <v>66</v>
      </c>
      <c r="B6" s="15" t="n">
        <v>1</v>
      </c>
    </row>
    <row r="7" customFormat="false" ht="15" hidden="false" customHeight="false" outlineLevel="0" collapsed="false">
      <c r="A7" s="14" t="s">
        <v>174</v>
      </c>
      <c r="B7" s="15" t="n">
        <v>3.5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4.5</v>
      </c>
    </row>
    <row r="11" customFormat="false" ht="15" hidden="false" customHeight="false" outlineLevel="0" collapsed="false">
      <c r="A11" s="14" t="s">
        <v>71</v>
      </c>
      <c r="B11" s="15" t="n">
        <v>5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73</v>
      </c>
      <c r="B13" s="18" t="s">
        <v>175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80</v>
      </c>
      <c r="B17" s="21" t="n">
        <v>20.6</v>
      </c>
      <c r="C17" s="22" t="s">
        <v>149</v>
      </c>
    </row>
    <row r="18" customFormat="false" ht="15" hidden="false" customHeight="false" outlineLevel="0" collapsed="false">
      <c r="A18" s="20" t="s">
        <v>176</v>
      </c>
      <c r="B18" s="21" t="n">
        <v>24.5</v>
      </c>
      <c r="C18" s="22" t="s">
        <v>149</v>
      </c>
    </row>
    <row r="19" customFormat="false" ht="15" hidden="false" customHeight="false" outlineLevel="0" collapsed="false">
      <c r="A19" s="20" t="s">
        <v>177</v>
      </c>
      <c r="B19" s="21" t="n">
        <v>18</v>
      </c>
      <c r="C19" s="22" t="s">
        <v>149</v>
      </c>
    </row>
    <row r="20" customFormat="false" ht="15" hidden="false" customHeight="false" outlineLevel="0" collapsed="false">
      <c r="A20" s="20" t="s">
        <v>178</v>
      </c>
      <c r="B20" s="21" t="n">
        <v>16.9</v>
      </c>
      <c r="C20" s="22" t="s">
        <v>149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128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98</v>
      </c>
      <c r="B26" s="23" t="s">
        <v>129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100</v>
      </c>
      <c r="B27" s="23" t="s">
        <v>179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180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128</v>
      </c>
      <c r="C32" s="24" t="n">
        <v>3</v>
      </c>
      <c r="D32" s="5" t="s">
        <v>181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98</v>
      </c>
      <c r="B33" s="23" t="s">
        <v>129</v>
      </c>
      <c r="C33" s="24" t="n">
        <v>3.5</v>
      </c>
      <c r="D33" s="5" t="s">
        <v>182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100</v>
      </c>
      <c r="B34" s="23" t="s">
        <v>179</v>
      </c>
      <c r="C34" s="24" t="n">
        <v>4.5</v>
      </c>
      <c r="D34" s="5" t="s">
        <v>183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184</v>
      </c>
    </row>
    <row r="45" customFormat="false" ht="15" hidden="false" customHeight="false" outlineLevel="0" collapsed="false">
      <c r="A45" s="2" t="s">
        <v>185</v>
      </c>
    </row>
    <row r="46" customFormat="false" ht="15" hidden="false" customHeight="false" outlineLevel="0" collapsed="false">
      <c r="A46" s="2" t="s">
        <v>186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64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65</v>
      </c>
      <c r="B5" s="14" t="s">
        <v>43</v>
      </c>
    </row>
    <row r="6" customFormat="false" ht="15" hidden="false" customHeight="false" outlineLevel="0" collapsed="false">
      <c r="A6" s="14" t="s">
        <v>66</v>
      </c>
      <c r="B6" s="15" t="n">
        <v>190</v>
      </c>
    </row>
    <row r="7" customFormat="false" ht="15" hidden="false" customHeight="false" outlineLevel="0" collapsed="false">
      <c r="A7" s="14" t="s">
        <v>67</v>
      </c>
      <c r="B7" s="15" t="n">
        <v>190</v>
      </c>
    </row>
    <row r="8" customFormat="false" ht="15" hidden="false" customHeight="false" outlineLevel="0" collapsed="false">
      <c r="A8" s="14" t="s">
        <v>68</v>
      </c>
      <c r="B8" s="16" t="n">
        <v>0.08</v>
      </c>
    </row>
    <row r="9" customFormat="false" ht="15" hidden="false" customHeight="false" outlineLevel="0" collapsed="false">
      <c r="A9" s="14" t="s">
        <v>69</v>
      </c>
      <c r="B9" s="16" t="n">
        <v>0.15</v>
      </c>
    </row>
    <row r="10" customFormat="false" ht="15" hidden="false" customHeight="false" outlineLevel="0" collapsed="false">
      <c r="A10" s="14" t="s">
        <v>70</v>
      </c>
      <c r="B10" s="15" t="n">
        <v>195</v>
      </c>
    </row>
    <row r="11" customFormat="false" ht="15" hidden="false" customHeight="false" outlineLevel="0" collapsed="false">
      <c r="A11" s="14" t="s">
        <v>71</v>
      </c>
      <c r="B11" s="15" t="n">
        <v>210</v>
      </c>
    </row>
    <row r="12" customFormat="false" ht="15" hidden="false" customHeight="false" outlineLevel="0" collapsed="false">
      <c r="A12" s="14" t="s">
        <v>72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73</v>
      </c>
      <c r="B13" s="18" t="s">
        <v>187</v>
      </c>
    </row>
    <row r="15" customFormat="false" ht="15" hidden="false" customHeight="false" outlineLevel="0" collapsed="false">
      <c r="A15" s="13" t="s">
        <v>75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76</v>
      </c>
      <c r="C16" s="19" t="s">
        <v>77</v>
      </c>
    </row>
    <row r="17" customFormat="false" ht="15" hidden="false" customHeight="false" outlineLevel="0" collapsed="false">
      <c r="A17" s="20" t="s">
        <v>188</v>
      </c>
      <c r="B17" s="21" t="n">
        <v>21</v>
      </c>
      <c r="C17" s="22" t="s">
        <v>189</v>
      </c>
    </row>
    <row r="18" customFormat="false" ht="15" hidden="false" customHeight="false" outlineLevel="0" collapsed="false">
      <c r="A18" s="20" t="s">
        <v>84</v>
      </c>
      <c r="B18" s="21" t="n">
        <v>61</v>
      </c>
      <c r="C18" s="22" t="s">
        <v>190</v>
      </c>
    </row>
    <row r="19" customFormat="false" ht="15" hidden="false" customHeight="false" outlineLevel="0" collapsed="false">
      <c r="A19" s="20" t="s">
        <v>191</v>
      </c>
      <c r="B19" s="21" t="n">
        <v>10</v>
      </c>
      <c r="C19" s="22" t="s">
        <v>192</v>
      </c>
    </row>
    <row r="20" customFormat="false" ht="15" hidden="false" customHeight="false" outlineLevel="0" collapsed="false">
      <c r="A20" s="20" t="s">
        <v>78</v>
      </c>
      <c r="B20" s="21" t="n">
        <v>10.5</v>
      </c>
      <c r="C20" s="22" t="s">
        <v>193</v>
      </c>
    </row>
    <row r="23" customFormat="false" ht="15" hidden="false" customHeight="false" outlineLevel="0" collapsed="false">
      <c r="A23" s="13" t="s">
        <v>86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87</v>
      </c>
      <c r="B24" s="3" t="s">
        <v>88</v>
      </c>
      <c r="C24" s="3" t="s">
        <v>89</v>
      </c>
      <c r="D24" s="3" t="s">
        <v>90</v>
      </c>
      <c r="E24" s="3" t="s">
        <v>91</v>
      </c>
      <c r="F24" s="3" t="s">
        <v>92</v>
      </c>
      <c r="G24" s="3" t="s">
        <v>93</v>
      </c>
      <c r="H24" s="3" t="s">
        <v>94</v>
      </c>
      <c r="I24" s="3" t="s">
        <v>95</v>
      </c>
    </row>
    <row r="25" customFormat="false" ht="15" hidden="false" customHeight="false" outlineLevel="0" collapsed="false">
      <c r="A25" s="20" t="s">
        <v>96</v>
      </c>
      <c r="B25" s="23" t="s">
        <v>99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98</v>
      </c>
      <c r="B26" s="23" t="s">
        <v>99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100</v>
      </c>
      <c r="B27" s="23" t="s">
        <v>128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194</v>
      </c>
    </row>
    <row r="30" customFormat="false" ht="15" hidden="false" customHeight="false" outlineLevel="0" collapsed="false">
      <c r="A30" s="13" t="s">
        <v>102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87</v>
      </c>
      <c r="B31" s="3" t="s">
        <v>88</v>
      </c>
      <c r="C31" s="3" t="s">
        <v>89</v>
      </c>
      <c r="D31" s="3" t="s">
        <v>103</v>
      </c>
      <c r="E31" s="3" t="s">
        <v>92</v>
      </c>
      <c r="F31" s="3" t="s">
        <v>93</v>
      </c>
      <c r="G31" s="3" t="s">
        <v>94</v>
      </c>
      <c r="H31" s="3" t="s">
        <v>95</v>
      </c>
    </row>
    <row r="32" customFormat="false" ht="15" hidden="false" customHeight="false" outlineLevel="0" collapsed="false">
      <c r="A32" s="20" t="s">
        <v>96</v>
      </c>
      <c r="B32" s="23" t="s">
        <v>99</v>
      </c>
      <c r="C32" s="24" t="n">
        <v>2</v>
      </c>
      <c r="D32" s="5" t="s">
        <v>195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98</v>
      </c>
      <c r="B33" s="23" t="s">
        <v>99</v>
      </c>
      <c r="C33" s="24" t="n">
        <v>2</v>
      </c>
      <c r="D33" s="5" t="s">
        <v>196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100</v>
      </c>
      <c r="B34" s="23" t="s">
        <v>128</v>
      </c>
      <c r="C34" s="24" t="n">
        <v>3</v>
      </c>
      <c r="D34" s="5" t="s">
        <v>197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107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108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109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110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111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112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198</v>
      </c>
    </row>
    <row r="45" customFormat="false" ht="15" hidden="false" customHeight="false" outlineLevel="0" collapsed="false">
      <c r="A45" s="2" t="s">
        <v>199</v>
      </c>
    </row>
    <row r="46" customFormat="false" ht="15" hidden="false" customHeight="false" outlineLevel="0" collapsed="false">
      <c r="A46" s="2" t="s">
        <v>200</v>
      </c>
    </row>
    <row r="47" customFormat="false" ht="15" hidden="false" customHeight="false" outlineLevel="0" collapsed="false">
      <c r="A4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2026-08-24T11:16:41Z</dcterms:created>
  <dc:creator>openpyxl</dc:creator>
  <dc:description/>
  <dc:language>en-US</dc:language>
  <cp:lastModifiedBy/>
  <dcterms:modified xsi:type="dcterms:W3CDTF">2026-08-24T11:16:41Z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
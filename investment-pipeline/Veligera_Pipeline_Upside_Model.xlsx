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Polymarket" sheetId="5" state="visible" r:id="rId7"/>
    <sheet name="Neuralink" sheetId="6" state="visible" r:id="rId8"/>
    <sheet name="1X" sheetId="7" state="visible" r:id="rId9"/>
    <sheet name="Positron AI" sheetId="8" state="visible" r:id="rId10"/>
    <sheet name="Databricks" sheetId="9" state="visible" r:id="rId11"/>
    <sheet name="Kalshi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<sst xmlns="http://schemas.openxmlformats.org/spreadsheetml/2006/main" count="630" uniqueCount="220">
  <si>
    <t xml:space="preserve">Veligera Capital — Pipeline сделок: расчёт upside</t>
  </si>
  <si>
    <t xml:space="preserve">Данные на 21.08.2026. Все оценки в $ млрд. Цена входа индикативная: +10% к оценке последнего закрытого раунда;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</si>
  <si>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</si>
  <si>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</si>
  <si>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закрытый раунд</t>
  </si>
  <si>
    <t xml:space="preserve">Оценка post-money, $ млрд</t>
  </si>
  <si>
    <t xml:space="preserve">Вход (индикатив, +10%), $ млрд</t>
  </si>
  <si>
    <t xml:space="preserve">Стадия</t>
  </si>
  <si>
    <t xml:space="preserve">Горизонт / базовый выход</t>
  </si>
  <si>
    <t xml:space="preserve">Оценка на выходе (база), $ млрд</t>
  </si>
  <si>
    <t xml:space="preserve">MOIC (база)</t>
  </si>
  <si>
    <t xml:space="preserve">Upside (база)</t>
  </si>
  <si>
    <t xml:space="preserve">IRR (база)</t>
  </si>
  <si>
    <t xml:space="preserve">MOIC конс.</t>
  </si>
  <si>
    <t xml:space="preserve">MOIC опт.</t>
  </si>
  <si>
    <t xml:space="preserve">OpenAI</t>
  </si>
  <si>
    <t xml:space="preserve">Генеративный ИИ / foundation-модели</t>
  </si>
  <si>
    <t xml:space="preserve">Раунд $122 млрд (крупнейший частный раунд в истории), закрыт 31.03.2026; со-лид SoftBank</t>
  </si>
  <si>
    <t xml:space="preserve">Late-stage / Pre-IPO (конфиденциальная S-1 подана в июне 2026)</t>
  </si>
  <si>
    <t xml:space="preserve">1–2 года (IPO 2026–2027)</t>
  </si>
  <si>
    <t xml:space="preserve">Figure AI</t>
  </si>
  <si>
    <t xml:space="preserve">Гуманоидная робототехника / embodied AI (индустрия)</t>
  </si>
  <si>
    <t xml:space="preserve">Series C &gt;$1 млрд, закрыт 16.09.2025; лид Parkway Venture Capital</t>
  </si>
  <si>
    <t xml:space="preserve">Series C / Growth</t>
  </si>
  <si>
    <t xml:space="preserve">2–3 года (IPO 2027–2028)</t>
  </si>
  <si>
    <t xml:space="preserve">Polymarket</t>
  </si>
  <si>
    <t xml:space="preserve">Рынки предсказаний / биржевая инфраструктура (fintech x crypto)</t>
  </si>
  <si>
    <t xml:space="preserve">Раунд ~$1 млрд, закрыт в апреле 2026; новые инвесторы D.E. Shaw, G Squared; ICE добавила $600 млн</t>
  </si>
  <si>
    <t xml:space="preserve">Growth / Pre-IPO</t>
  </si>
  <si>
    <t xml:space="preserve">2–4 года (IPO 2028–2030 или продажа ICE)</t>
  </si>
  <si>
    <t xml:space="preserve">Neuralink</t>
  </si>
  <si>
    <t xml:space="preserve">Нейротехнологии / инвазивные интерфейсы «мозг-компьютер» (BCI)</t>
  </si>
  <si>
    <t xml:space="preserve">Series E $650 млн, закрыт 02.06.2025; лиды ARK Invest, Founders Fund, Sequoia</t>
  </si>
  <si>
    <t xml:space="preserve">Series E / клиническая стадия (pre-revenue)</t>
  </si>
  <si>
    <t xml:space="preserve">4–6 лет (IPO 2029–2031, после одобрения Telepathy)</t>
  </si>
  <si>
    <t xml:space="preserve">1X Technologies</t>
  </si>
  <si>
    <t xml:space="preserve">Гуманоидная робототехника / домашние роботы (консьюмер)</t>
  </si>
  <si>
    <t xml:space="preserve">Series B $100 млн, закрыт в янв 2024; лид EQT Ventures</t>
  </si>
  <si>
    <t xml:space="preserve">Series B (Series C ~$1 млрд по оценке $10+ млрд — в процессе, не закрыт)</t>
  </si>
  <si>
    <t xml:space="preserve">4–5 лет (IPO ~2030)</t>
  </si>
  <si>
    <t xml:space="preserve">Positron AI</t>
  </si>
  <si>
    <t xml:space="preserve">Полупроводники / ускорители ИИ-инференса (претендент против Nvidia)</t>
  </si>
  <si>
    <t xml:space="preserve">Series B $230 млн (переподписан), закрыт 04.02.2026; со-лиды ARENA, Jump Trading, Unless; стратеги QIA и Arm</t>
  </si>
  <si>
    <t xml:space="preserve">Series B / Early growth (раунд ~$750 млн по оценке $3.5–5 млрд — в переговорах)</t>
  </si>
  <si>
    <t xml:space="preserve">3–4 года (IPO/M&amp;A 2028–2030)</t>
  </si>
  <si>
    <t xml:space="preserve">Databricks</t>
  </si>
  <si>
    <t xml:space="preserve">Данные и ИИ для корпораций (data/AI-платформа)</t>
  </si>
  <si>
    <t xml:space="preserve">Стратегический раунд $5 млрд, закрыт 13.08.2026; лид Coatue (спрос ~$15 млрд)</t>
  </si>
  <si>
    <t xml:space="preserve">Late-stage / Pre-IPO (IPO не раньше 2027)</t>
  </si>
  <si>
    <t xml:space="preserve">1–2 года (IPO 2027–2028)</t>
  </si>
  <si>
    <t xml:space="preserve">Kalshi</t>
  </si>
  <si>
    <t xml:space="preserve">Рынки предсказаний / регулируемая биржа событий (США)</t>
  </si>
  <si>
    <t xml:space="preserve">Series F $1 млрд, закрыт 07.05.2026; лид Coatue (с Sequoia, a16z, IVP, Paradigm, Morgan Stanley, ARK)</t>
  </si>
  <si>
    <t xml:space="preserve">Series F (раунд ~$750 млн по оценке $40 млрд — в переговорах)</t>
  </si>
  <si>
    <t xml:space="preserve">1–3 года (IPO ~2027, «pre-IPO» раунд уже в переговорах)</t>
  </si>
  <si>
    <t xml:space="preserve">Примечания: по 1X расчёт ведётся от входа по оценке Series C в процессе ($10 млрд +10% = $11 млрд) — закрытый раунд 01.2024 устарел. По Neuralink вход зафиксирован на уровне вторичного рынка (~$50 млрд) — раунд 06.2025 ($9 млрд) устарел. См. листы компаний.</t>
  </si>
  <si>
    <t xml:space="preserve">Дисклеймер: оценки и upside — модельные оценки на основе публичных данных; не является инвестиционной рекомендацией или офертой. Цены входа индикативны и подтверждаются по запросу.</t>
  </si>
  <si>
    <t xml:space="preserve">Методология и допущения</t>
  </si>
  <si>
    <t xml:space="preserve">Цена входа</t>
  </si>
  <si>
    <t xml:space="preserve">Индикативно: оценка post-money последнего ЗАКРЫТОГО раунда + 10%. Реальная цена определяется на момент сделки и предоставляется по запросу.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</si>
  <si>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</si>
  <si>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 (скорректированный под профиль роста). Прогнозы выручки — планы компаний и оценки аналитиков.</t>
  </si>
  <si>
    <t xml:space="preserve">Метод 2 — рыночные якоря</t>
  </si>
  <si>
    <t xml:space="preserve">Оценка на выходе от рыночных сигналов: целевые оценки IPO, оценки раундов в переговорах, вторичный рынок (Forge/Caplight/NPM), оценки прямых конкурентов, TAM x целевая доля.</t>
  </si>
  <si>
    <t xml:space="preserve">Сценарии</t>
  </si>
  <si>
    <t xml:space="preserve">Консервативный / базовый / оптимистичный. Итоговая базовая оценка = среднее двух методов по базовому сценарию.</t>
  </si>
  <si>
    <t xml:space="preserve">Метрики</t>
  </si>
  <si>
    <t xml:space="preserve">MOIC = оценка на выходе / вход; Upside = MOIC − 1; IRR = MOIC^(1/лет) − 1. Разводнение будущих раундов, комиссии и дисконт за неликвидность НЕ учтены.</t>
  </si>
  <si>
    <t xml:space="preserve">Жёлтые ячейки</t>
  </si>
  <si>
    <t xml:space="preserve">Ключевые изменяемые допущения (выручка, мультипликаторы, оценки-якоря) — синий шрифт, жёлтая заливка.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</si>
  <si>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</si>
  <si>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 и др.) и могут отличаться от фактических. Не оферта и не инвестиционная рекомендация.</t>
  </si>
  <si>
    <t xml:space="preserve">1. ВХОД</t>
  </si>
  <si>
    <t xml:space="preserve">Премия к раунду (правило входа)</t>
  </si>
  <si>
    <t xml:space="preserve">Цена входа (индикатив), $ млрд</t>
  </si>
  <si>
    <t xml:space="preserve">Примечание</t>
  </si>
  <si>
    <t xml:space="preserve">Подтверждено тендером сотрудников на $7 млрд по той же оценке $852 млрд (10.08.2026).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</si>
  <si>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</si>
  <si>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</si>
  <si>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</si>
  <si>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</si>
  <si>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</si>
  <si>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</si>
  <si>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</si>
  <si>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</si>
  <si>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</si>
  <si>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</si>
  <si>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«хайповый» верх диапазона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</si>
  <si>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</si>
  <si>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</si>
  <si>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</si>
  <si>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</si>
  <si>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</si>
  <si>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</si>
  <si>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</si>
  <si>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</si>
  <si>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</si>
  <si>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</si>
  <si>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</si>
  <si>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</si>
  <si>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</si>
  <si>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</si>
  <si>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</si>
  <si>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Выручка: план компании ~$62 млрд в 2027 (run-rate уже &gt;$40 млрд в июле 2026); мультипликатор 15–25x — между мегакэпами (7–25x) и текущим имплайд ~21x ARR.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</si>
  <si>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</si>
  <si>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</si>
  <si>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</si>
  <si>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Целевой диапазон IPO (Goldman/MS/JPM), листинг 2026–2027</t>
  </si>
  <si>
    <t xml:space="preserve">Успешное IPO + пост-IPO ре-рейтинг</t>
  </si>
  <si>
    <t xml:space="preserve">5. ИТОГ</t>
  </si>
  <si>
    <t xml:space="preserve">Здесь и в «Сводке»: база = среднее двух методов; диапазон — min/max по всем сценариям обоих методов.</t>
  </si>
  <si>
    <t xml:space="preserve">Базовая оценка на выходе (среднее 2 методов), $ млрд</t>
  </si>
  <si>
    <t xml:space="preserve">Диапазон MOIC (конс. — опт.)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</si>
  <si>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</si>
  <si>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</si>
  <si>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</si>
  <si>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</t>
  </si>
  <si>
    <t xml:space="preserve">• Цена входа индикативна (+10% к последнему закрытому раунду); реальная цена — по запросу на момент сделки.</t>
  </si>
  <si>
    <t xml:space="preserve">Вторичный рынок (Forge, авг 2026) торгуется несколько ниже отметки Series C — вход близок к раундовой оценке.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</si>
  <si>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</si>
  <si>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</si>
  <si>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</si>
  <si>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</si>
  <si>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</si>
  <si>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</si>
  <si>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</si>
  <si>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</si>
  <si>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</si>
  <si>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</si>
  <si>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</si>
  <si>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Выручка: масштабирование BotQ (12 тыс. → 100 тыс. роботов/год) + контракт UPS (до ~100 тыс. роботов к 2029); ASP/RaaS ~$100–150 тыс./робот в год.</t>
  </si>
  <si>
    <t xml:space="preserve">Вторичный рынок — дисконт к Series C</t>
  </si>
  <si>
    <t xml:space="preserve">Степ-ап следующего раунда/IPO ~1.8x к Series C</t>
  </si>
  <si>
    <t xml:space="preserve">«Tesla-нарратив»: лидер категории гуманоидов</t>
  </si>
  <si>
    <t xml:space="preserve">• Series C $39 млрд: figure.ai/news/series-c; TechCrunch, 16.09.2025</t>
  </si>
  <si>
    <t xml:space="preserve">• BMW (Spartanburg, Figure 03 с июня 2026), UPS (reported): Yahoo Finance</t>
  </si>
  <si>
    <t xml:space="preserve">• TAM: Goldman Sachs $38 млрд к 2035; Morgan Stanley $5 трлн к 2050</t>
  </si>
  <si>
    <t xml:space="preserve">В переговорах новый раунд ~$1 млрд по оценке &gt;$20 млрд (Bloomberg, 04.08.2026) — не закрыт; фактическая цена входа может быть выше.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</si>
  <si>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</si>
  <si>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</si>
  <si>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</si>
  <si>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</si>
  <si>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</si>
  <si>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</si>
  <si>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</si>
  <si>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</si>
  <si>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</si>
  <si>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</si>
  <si>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2030</t>
  </si>
  <si>
    <t xml:space="preserve">Annualized-выручка уже &gt;$1 млрд (июнь 2026, через 6 недель после запуска биржи в США); Bernstein: объёмы отрасли $1 трлн к 2030 (~$10.8 млрд выручки), Macquarie — до $50 млрд.</t>
  </si>
  <si>
    <t xml:space="preserve">Оценка раунда в переговорах (&gt;$20 млрд)</t>
  </si>
  <si>
    <t xml:space="preserve">Паритет с траекторией Kalshi (ask $40 млрд, июнь 2026)</t>
  </si>
  <si>
    <t xml:space="preserve">Ре-рейтинг категории до биржевой инфраструктуры</t>
  </si>
  <si>
    <t xml:space="preserve">• Раунд $15 млрд: Bloomberg 20.04.2026, Finance Magnates 04.08.2026</t>
  </si>
  <si>
    <t xml:space="preserve">• Выручка &gt;$1 млрд annualized: CNBC, 26.06.2026; объёмы ~$9–10.5 млрд/мес</t>
  </si>
  <si>
    <t xml:space="preserve">• ICE: инвестиции до $2 млрд (окт 2025) + дистрибуция данных</t>
  </si>
  <si>
    <t xml:space="preserve">Вход считается НЕ от раунда: последний раунд ($9 млрд, 06.2025) устарел. Вторичный рынок (авг 2026) оценивает компанию в $29–42 млрд после IPO SpaceX; вход зафиксирован на уровне ~$50 млрд (решение по пайплайну).</t>
  </si>
  <si>
    <t xml:space="preserve">Ориентир входа: вторичный рынок, $ млрд</t>
  </si>
  <si>
    <t xml:space="preserve">Вход (фикс., по вторичному рынку), $ млрд — используется в расчётах ниже</t>
  </si>
  <si>
    <t xml:space="preserve">EV/Revenue 6–10x — платформенная робохирургия</t>
  </si>
  <si>
    <t xml:space="preserve">Medtronic</t>
  </si>
  <si>
    <t xml:space="preserve">EV/Revenue 3–5x — диверсифицированный медтех</t>
  </si>
  <si>
    <t xml:space="preserve">2031</t>
  </si>
  <si>
    <t xml:space="preserve">2032</t>
  </si>
  <si>
    <t xml:space="preserve">План компании (Bloomberg, июль 2025): $100 млн выручки к 2029, &gt;$500 млн к 2030, ≥$1 млрд и 20 тыс. имплантов/год к 2031; в базе — форвардная выручка ~$1.5 млрд с платформенной премией к мультипликатору.</t>
  </si>
  <si>
    <t xml:space="preserve">Остаёмся на уровне вторичного рынка ($42 млрд)</t>
  </si>
  <si>
    <t xml:space="preserve">IPO 2030–31 с «Musk-премией» (шаблон SpaceX)</t>
  </si>
  <si>
    <t xml:space="preserve">Blindsight/речь одобрены, консьюмерская опциональность</t>
  </si>
  <si>
    <t xml:space="preserve">Справочно: MOIC (база) от формального входа (+10% к последнему закрытому раунду)</t>
  </si>
  <si>
    <t xml:space="preserve">• Series E $9 млрд: TechCrunch/Semafor, июнь 2025</t>
  </si>
  <si>
    <t xml:space="preserve">• Вторичка $29–42 млрд: Caplight/Forge, авг 2026</t>
  </si>
  <si>
    <t xml:space="preserve">• 26 пациентов к середине 2026; FDA Breakthrough: Blindsight, Speech</t>
  </si>
  <si>
    <t xml:space="preserve">ВАЖНО: последний закрытый раунд (янв 2024, $0.82 млрд) сильно устарел. С сент 2025 в процессе Series C до $1 млрд по оценке $10+ млрд (The Information). Реальный вход будет вблизи Series C — расчёт upside ведём от альтернативного входа.</t>
  </si>
  <si>
    <t xml:space="preserve">Оценка Series C в процессе, $ млрд</t>
  </si>
  <si>
    <t xml:space="preserve">Расчётный вход (+10% к Series C), $ млрд — используется в расчётах ниже</t>
  </si>
  <si>
    <t xml:space="preserve">iRobot</t>
  </si>
  <si>
    <t xml:space="preserve">≤1x — предостерегающий комп: консьюмер-железо без ИИ-рва</t>
  </si>
  <si>
    <t xml:space="preserve">Робототехника/ИИ (медиана)</t>
  </si>
  <si>
    <t xml:space="preserve">EV/EBITDA сектора, Q4 2025</t>
  </si>
  <si>
    <t xml:space="preserve">NEO: 10 тыс.+ предзаказов за 5 дней (бэклог &gt;$200 млн), цель 100 тыс. роботов/год к концу 2027; $20 тыс./робот или подписка $499/мес + контракт EQT до 10 тыс. роботов.</t>
  </si>
  <si>
    <t xml:space="preserve">Оценка Series C в процессе ($10 млрд)</t>
  </si>
  <si>
    <t xml:space="preserve">Доля от оценки Figure AI ($39 млрд) / следующий степ-ап</t>
  </si>
  <si>
    <t xml:space="preserve">Лидер домашнего сегмента гуманоидов</t>
  </si>
  <si>
    <t xml:space="preserve">• Series B $100 млн: 1x.tech, янв 2024; Series C talks: The Information, сент 2025</t>
  </si>
  <si>
    <t xml:space="preserve">• NEO: предзаказы с 28.10.2025; производство Hayward CA с апр 2026</t>
  </si>
  <si>
    <t xml:space="preserve">• Вторичка: NPM ~$662/акция (31.07.2026)</t>
  </si>
  <si>
    <t xml:space="preserve">В переговорах раунд ~$750 млн двумя траншами по оценкам ~$3.5 и ~$5 млрд (Bloomberg, 08.07.2026) — не закрыт; фактическая цена входа может быть кратно выше индикатива.</t>
  </si>
  <si>
    <t xml:space="preserve">Broadcom</t>
  </si>
  <si>
    <t xml:space="preserve">AMD</t>
  </si>
  <si>
    <t xml:space="preserve">Marvell</t>
  </si>
  <si>
    <t xml:space="preserve">Букинги: десятки $ млн с целью «сотни $ млн» в 2026; контракт Oracle OCI $50.4 млн (344 сервера Atlas). База — ramp кастомного чипа Asimov (производство с 2027).</t>
  </si>
  <si>
    <t xml:space="preserve">Оценка транша 1 переговоров ($3.5 млрд)</t>
  </si>
  <si>
    <t xml:space="preserve">IPO/M&amp;A 2029 (Arm — стратег в капитале)</t>
  </si>
  <si>
    <t xml:space="preserve">«Путь Cerebras»: IPO при выручке $500 млн+</t>
  </si>
  <si>
    <t xml:space="preserve">• Series B $230 млн, &gt;$1 млрд post: BusinessWire/TechCrunch, 04.02.2026</t>
  </si>
  <si>
    <t xml:space="preserve">• Раунд в переговорах $3.5–5 млрд: Bloomberg, 08.07.2026</t>
  </si>
  <si>
    <t xml:space="preserve">• Oracle-контракт: EE Times, апр 2026; TAM инференс-чипов $37 млрд к 2030</t>
  </si>
  <si>
    <t xml:space="preserve">Последовательность: Series J $10 млрд @ $62 млрд (12.2024) → Series K ~$1 млрд @ &gt;$100 млрд (09.2025) → Series L ~$5 млрд @ $134 млрд (02.2026) → $5 млрд @ $190 млрд (08.2026).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</si>
  <si>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</si>
  <si>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</si>
  <si>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</si>
  <si>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</si>
  <si>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</si>
  <si>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</si>
  <si>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(Q2 FY, июль 2026), рост &gt;80% г/г с ускорением; положительный adjusted FCF 12 мес. подряд; текущий имплайд ~27x run-rate.</t>
  </si>
  <si>
    <t xml:space="preserve">Оценка остаётся на уровне раунда ($190 млрд)</t>
  </si>
  <si>
    <t xml:space="preserve">IPO 2027–28 со степ-апом к раунду</t>
  </si>
  <si>
    <t xml:space="preserve">Ре-рейтинг к Palantir-подобным мультипликаторам</t>
  </si>
  <si>
    <t xml:space="preserve">• Раунд $5 млрд @ $190 млрд: CNBC, 13.08.2026; пресс-релиз Databricks</t>
  </si>
  <si>
    <t xml:space="preserve">• Run-rate $7 млрд, &gt;80% г/г: данные компании, Q2 (июль 2026)</t>
  </si>
  <si>
    <t xml:space="preserve">• Всего привлечено ~$25 млрд (Tracxn); IPO: Ghodsi — не раньше 2027</t>
  </si>
  <si>
    <t xml:space="preserve">В переговорах раунд $750 млн+ по оценке $40 млрд (Sequoia + Wellington; CoinDesk, 13.08.2026) — не закрыт; фактическая цена входа может быть выше индикатива.</t>
  </si>
  <si>
    <t xml:space="preserve">биржа</t>
  </si>
  <si>
    <t xml:space="preserve">Выручка: $263.5 млн за 2025 → run-rate ~$1.5 млрд (май 2026) → ~$4 млрд (июль 2026, пик ЧМ по футболу); ~90% рынка США, объёмы $21.1 млрд/мес (июнь).</t>
  </si>
  <si>
    <t xml:space="preserve">Оценка остаётся на уровне Series F ($22–24 млрд)</t>
  </si>
  <si>
    <t xml:space="preserve">Оценка раунда в переговорах ($40 млрд), pre-IPO</t>
  </si>
  <si>
    <t xml:space="preserve">Лидер категории после IPO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</si>
  <si>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</si>
  <si>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</si>
  <si>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 (89% спорт); run-rate ~$4 млрд к июлю 2026; всего привлечено ~$2.8 млрд (Tracxn)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</si>
</sst>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13" min="9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23.85" hidden="false" customHeight="false" outlineLevel="0" collapsed="false">
      <c r="A5" s="4" t="s">
        <v>15</v>
      </c>
      <c r="B5" s="5" t="s">
        <v>16</v>
      </c>
      <c r="C5" s="5" t="s">
        <v>17</v>
      </c>
      <c r="D5" s="6" t="n">
        <f aca="false">OpenAI!B6</f>
        <v>852</v>
      </c>
      <c r="E5" s="6" t="n">
        <f aca="false">OpenAI!B8</f>
        <v>937.2</v>
      </c>
      <c r="F5" s="7" t="s">
        <v>18</v>
      </c>
      <c r="G5" s="7" t="s">
        <v>19</v>
      </c>
      <c r="H5" s="6" t="n">
        <f aca="false">OpenAI!B36</f>
        <v>1220</v>
      </c>
      <c r="I5" s="8" t="n">
        <f aca="false">OpenAI!B37</f>
        <v>1.30174989329919</v>
      </c>
      <c r="J5" s="9" t="n">
        <f aca="false">OpenAI!B38</f>
        <v>0.301749893299189</v>
      </c>
      <c r="K5" s="9" t="n">
        <f aca="false">OpenAI!B39</f>
        <v>0.192207090740371</v>
      </c>
      <c r="L5" s="8" t="n">
        <f aca="false">OpenAI!B40</f>
        <v>0.880281690140845</v>
      </c>
      <c r="M5" s="8" t="n">
        <f aca="false">OpenAI!C40</f>
        <v>2.93427230046948</v>
      </c>
    </row>
    <row r="6" customFormat="false" ht="23.85" hidden="false" customHeight="false" outlineLevel="0" collapsed="false">
      <c r="A6" s="4" t="s">
        <v>20</v>
      </c>
      <c r="B6" s="5" t="s">
        <v>21</v>
      </c>
      <c r="C6" s="5" t="s">
        <v>22</v>
      </c>
      <c r="D6" s="6" t="n">
        <f aca="false">'Figure AI'!B6</f>
        <v>39</v>
      </c>
      <c r="E6" s="6" t="n">
        <f aca="false">'Figure AI'!B8</f>
        <v>42.9</v>
      </c>
      <c r="F6" s="7" t="s">
        <v>23</v>
      </c>
      <c r="G6" s="7" t="s">
        <v>24</v>
      </c>
      <c r="H6" s="6" t="n">
        <f aca="false">'Figure AI'!B36</f>
        <v>66.5</v>
      </c>
      <c r="I6" s="8" t="n">
        <f aca="false">'Figure AI'!B37</f>
        <v>1.55011655011655</v>
      </c>
      <c r="J6" s="9" t="n">
        <f aca="false">'Figure AI'!B38</f>
        <v>0.55011655011655</v>
      </c>
      <c r="K6" s="9" t="n">
        <f aca="false">'Figure AI'!B39</f>
        <v>0.191641834037893</v>
      </c>
      <c r="L6" s="8" t="n">
        <f aca="false">'Figure AI'!B40</f>
        <v>0.41958041958042</v>
      </c>
      <c r="M6" s="8" t="n">
        <f aca="false">'Figure AI'!C40</f>
        <v>4.1025641025641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Polymarket!B6</f>
        <v>15</v>
      </c>
      <c r="E7" s="6" t="n">
        <f aca="false">Polymarket!B8</f>
        <v>16.5</v>
      </c>
      <c r="F7" s="7" t="s">
        <v>28</v>
      </c>
      <c r="G7" s="7" t="s">
        <v>29</v>
      </c>
      <c r="H7" s="6" t="n">
        <f aca="false">Polymarket!B36</f>
        <v>38.75</v>
      </c>
      <c r="I7" s="8" t="n">
        <f aca="false">Polymarket!B37</f>
        <v>2.34848484848485</v>
      </c>
      <c r="J7" s="9" t="n">
        <f aca="false">Polymarket!B38</f>
        <v>1.34848484848485</v>
      </c>
      <c r="K7" s="9" t="n">
        <f aca="false">Polymarket!B39</f>
        <v>0.407068060803701</v>
      </c>
      <c r="L7" s="8" t="n">
        <f aca="false">Polymarket!B40</f>
        <v>0.581818181818182</v>
      </c>
      <c r="M7" s="8" t="n">
        <f aca="false">Polymarket!C40</f>
        <v>5.45454545454545</v>
      </c>
    </row>
    <row r="8" customFormat="false" ht="23.85" hidden="false" customHeight="false" outlineLevel="0" collapsed="false">
      <c r="A8" s="4" t="s">
        <v>30</v>
      </c>
      <c r="B8" s="5" t="s">
        <v>31</v>
      </c>
      <c r="C8" s="5" t="s">
        <v>32</v>
      </c>
      <c r="D8" s="6" t="n">
        <f aca="false">Neuralink!B6</f>
        <v>9</v>
      </c>
      <c r="E8" s="6" t="n">
        <f aca="false">Neuralink!B11</f>
        <v>50</v>
      </c>
      <c r="F8" s="7" t="s">
        <v>33</v>
      </c>
      <c r="G8" s="7" t="s">
        <v>34</v>
      </c>
      <c r="H8" s="6" t="n">
        <f aca="false">Neuralink!B36</f>
        <v>62.5</v>
      </c>
      <c r="I8" s="8" t="n">
        <f aca="false">Neuralink!B37</f>
        <v>1.25</v>
      </c>
      <c r="J8" s="9" t="n">
        <f aca="false">Neuralink!B38</f>
        <v>0.25</v>
      </c>
      <c r="K8" s="9" t="n">
        <f aca="false">Neuralink!B39</f>
        <v>0.0456395525912732</v>
      </c>
      <c r="L8" s="8" t="n">
        <f aca="false">Neuralink!B40</f>
        <v>0.2</v>
      </c>
      <c r="M8" s="8" t="n">
        <f aca="false">Neuralink!C40</f>
        <v>3</v>
      </c>
    </row>
    <row r="9" customFormat="false" ht="23.85" hidden="false" customHeight="false" outlineLevel="0" collapsed="false">
      <c r="A9" s="4" t="s">
        <v>35</v>
      </c>
      <c r="B9" s="5" t="s">
        <v>36</v>
      </c>
      <c r="C9" s="5" t="s">
        <v>37</v>
      </c>
      <c r="D9" s="6" t="n">
        <f aca="false">1X!B6</f>
        <v>0.82</v>
      </c>
      <c r="E9" s="6" t="n">
        <f aca="false">1X!B11</f>
        <v>11</v>
      </c>
      <c r="F9" s="7" t="s">
        <v>38</v>
      </c>
      <c r="G9" s="7" t="s">
        <v>39</v>
      </c>
      <c r="H9" s="6" t="n">
        <f aca="false">1X!B36</f>
        <v>27.5</v>
      </c>
      <c r="I9" s="8" t="n">
        <f aca="false">1X!B37</f>
        <v>2.5</v>
      </c>
      <c r="J9" s="9" t="n">
        <f aca="false">1X!B38</f>
        <v>1.5</v>
      </c>
      <c r="K9" s="9" t="n">
        <f aca="false">1X!B39</f>
        <v>0.257433429682936</v>
      </c>
      <c r="L9" s="8" t="n">
        <f aca="false">1X!B40</f>
        <v>0.436363636363636</v>
      </c>
      <c r="M9" s="8" t="n">
        <f aca="false">1X!C40</f>
        <v>7.27272727272727</v>
      </c>
    </row>
    <row r="10" customFormat="false" ht="35.05" hidden="false" customHeight="false" outlineLevel="0" collapsed="false">
      <c r="A10" s="4" t="s">
        <v>40</v>
      </c>
      <c r="B10" s="5" t="s">
        <v>41</v>
      </c>
      <c r="C10" s="5" t="s">
        <v>42</v>
      </c>
      <c r="D10" s="6" t="n">
        <f aca="false">'Positron AI'!B6</f>
        <v>1</v>
      </c>
      <c r="E10" s="6" t="n">
        <f aca="false">'Positron AI'!B8</f>
        <v>1.1</v>
      </c>
      <c r="F10" s="7" t="s">
        <v>43</v>
      </c>
      <c r="G10" s="7" t="s">
        <v>44</v>
      </c>
      <c r="H10" s="6" t="n">
        <f aca="false">'Positron AI'!B36</f>
        <v>7</v>
      </c>
      <c r="I10" s="8" t="n">
        <f aca="false">'Positron AI'!B37</f>
        <v>6.36363636363636</v>
      </c>
      <c r="J10" s="9" t="n">
        <f aca="false">'Positron AI'!B38</f>
        <v>5.36363636363636</v>
      </c>
      <c r="K10" s="9" t="n">
        <f aca="false">'Positron AI'!B39</f>
        <v>0.853112497402596</v>
      </c>
      <c r="L10" s="8" t="n">
        <f aca="false">'Positron AI'!B40</f>
        <v>1.81818181818182</v>
      </c>
      <c r="M10" s="8" t="n">
        <f aca="false">'Positron AI'!C40</f>
        <v>16.3636363636364</v>
      </c>
    </row>
    <row r="11" customFormat="false" ht="23.85" hidden="false" customHeight="false" outlineLevel="0" collapsed="false">
      <c r="A11" s="4" t="s">
        <v>45</v>
      </c>
      <c r="B11" s="5" t="s">
        <v>46</v>
      </c>
      <c r="C11" s="5" t="s">
        <v>47</v>
      </c>
      <c r="D11" s="6" t="n">
        <f aca="false">Databricks!B6</f>
        <v>190</v>
      </c>
      <c r="E11" s="6" t="n">
        <f aca="false">Databricks!B8</f>
        <v>209</v>
      </c>
      <c r="F11" s="7" t="s">
        <v>48</v>
      </c>
      <c r="G11" s="7" t="s">
        <v>49</v>
      </c>
      <c r="H11" s="6" t="n">
        <f aca="false">Databricks!B36</f>
        <v>270</v>
      </c>
      <c r="I11" s="8" t="n">
        <f aca="false">Databricks!B37</f>
        <v>1.29186602870813</v>
      </c>
      <c r="J11" s="9" t="n">
        <f aca="false">Databricks!B38</f>
        <v>0.291866028708134</v>
      </c>
      <c r="K11" s="9" t="n">
        <f aca="false">Databricks!B39</f>
        <v>0.136602845636124</v>
      </c>
      <c r="L11" s="8" t="n">
        <f aca="false">Databricks!B40</f>
        <v>0.861244019138756</v>
      </c>
      <c r="M11" s="8" t="n">
        <f aca="false">Databricks!C40</f>
        <v>2.39234449760766</v>
      </c>
    </row>
    <row r="12" customFormat="false" ht="23.85" hidden="false" customHeight="false" outlineLevel="0" collapsed="false">
      <c r="A12" s="4" t="s">
        <v>50</v>
      </c>
      <c r="B12" s="5" t="s">
        <v>51</v>
      </c>
      <c r="C12" s="5" t="s">
        <v>52</v>
      </c>
      <c r="D12" s="6" t="n">
        <f aca="false">Kalshi!B6</f>
        <v>22</v>
      </c>
      <c r="E12" s="6" t="n">
        <f aca="false">Kalshi!B8</f>
        <v>24.2</v>
      </c>
      <c r="F12" s="7" t="s">
        <v>53</v>
      </c>
      <c r="G12" s="7" t="s">
        <v>54</v>
      </c>
      <c r="H12" s="6" t="n">
        <f aca="false">Kalshi!B36</f>
        <v>38</v>
      </c>
      <c r="I12" s="8" t="n">
        <f aca="false">Kalshi!B37</f>
        <v>1.5702479338843</v>
      </c>
      <c r="J12" s="9" t="n">
        <f aca="false">Kalshi!B38</f>
        <v>0.570247933884297</v>
      </c>
      <c r="K12" s="9" t="n">
        <f aca="false">Kalshi!B39</f>
        <v>0.253095341099111</v>
      </c>
      <c r="L12" s="8" t="n">
        <f aca="false">Kalshi!B40</f>
        <v>0.661157024793388</v>
      </c>
      <c r="M12" s="8" t="n">
        <f aca="false">Kalshi!C40</f>
        <v>3.71900826446281</v>
      </c>
    </row>
    <row r="14" customFormat="false" ht="15" hidden="false" customHeight="false" outlineLevel="0" collapsed="false">
      <c r="A14" s="2" t="s">
        <v>55</v>
      </c>
    </row>
    <row r="15" customFormat="false" ht="15" hidden="false" customHeight="false" outlineLevel="0" collapsed="false">
      <c r="A15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57</v>
      </c>
    </row>
    <row r="3" customFormat="false" ht="42" hidden="false" customHeight="true" outlineLevel="0" collapsed="false">
      <c r="A3" s="10" t="s">
        <v>58</v>
      </c>
      <c r="B3" s="11" t="s">
        <v>59</v>
      </c>
    </row>
    <row r="4" customFormat="false" ht="42" hidden="false" customHeight="true" outlineLevel="0" collapsed="false">
      <c r="A4" s="10" t="s">
        <v>60</v>
      </c>
      <c r="B4" s="11" t="s">
        <v>61</v>
      </c>
    </row>
    <row r="5" customFormat="false" ht="42" hidden="false" customHeight="true" outlineLevel="0" collapsed="false">
      <c r="A5" s="10" t="s">
        <v>62</v>
      </c>
      <c r="B5" s="11" t="s">
        <v>63</v>
      </c>
    </row>
    <row r="6" customFormat="false" ht="42" hidden="false" customHeight="true" outlineLevel="0" collapsed="false">
      <c r="A6" s="10" t="s">
        <v>64</v>
      </c>
      <c r="B6" s="11" t="s">
        <v>65</v>
      </c>
    </row>
    <row r="7" customFormat="false" ht="42" hidden="false" customHeight="true" outlineLevel="0" collapsed="false">
      <c r="A7" s="10" t="s">
        <v>66</v>
      </c>
      <c r="B7" s="11" t="s">
        <v>67</v>
      </c>
    </row>
    <row r="8" customFormat="false" ht="42" hidden="false" customHeight="true" outlineLevel="0" collapsed="false">
      <c r="A8" s="10" t="s">
        <v>68</v>
      </c>
      <c r="B8" s="11" t="s">
        <v>69</v>
      </c>
    </row>
    <row r="9" customFormat="false" ht="42" hidden="false" customHeight="true" outlineLevel="0" collapsed="false">
      <c r="A9" s="10" t="s">
        <v>70</v>
      </c>
      <c r="B9" s="11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12" t="s">
        <v>16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17</v>
      </c>
    </row>
    <row r="6" customFormat="false" ht="15" hidden="false" customHeight="false" outlineLevel="0" collapsed="false">
      <c r="A6" s="14" t="s">
        <v>5</v>
      </c>
      <c r="B6" s="16" t="n">
        <v>852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937.2</v>
      </c>
    </row>
    <row r="9" customFormat="false" ht="39.75" hidden="false" customHeight="true" outlineLevel="0" collapsed="false">
      <c r="A9" s="14" t="s">
        <v>75</v>
      </c>
      <c r="B9" s="19" t="s">
        <v>76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80</v>
      </c>
      <c r="B15" s="22" t="n">
        <v>10.5</v>
      </c>
      <c r="C15" s="23" t="s">
        <v>81</v>
      </c>
    </row>
    <row r="16" customFormat="false" ht="15" hidden="false" customHeight="false" outlineLevel="0" collapsed="false">
      <c r="A16" s="21" t="s">
        <v>82</v>
      </c>
      <c r="B16" s="22" t="n">
        <v>24.7</v>
      </c>
      <c r="C16" s="23" t="s">
        <v>83</v>
      </c>
    </row>
    <row r="17" customFormat="false" ht="15" hidden="false" customHeight="false" outlineLevel="0" collapsed="false">
      <c r="A17" s="21" t="s">
        <v>84</v>
      </c>
      <c r="B17" s="22" t="n">
        <v>9.4</v>
      </c>
      <c r="C17" s="23" t="s">
        <v>83</v>
      </c>
    </row>
    <row r="18" customFormat="false" ht="15" hidden="false" customHeight="false" outlineLevel="0" collapsed="false">
      <c r="A18" s="21" t="s">
        <v>85</v>
      </c>
      <c r="B18" s="22" t="n">
        <v>7</v>
      </c>
      <c r="C18" s="23" t="s">
        <v>83</v>
      </c>
    </row>
    <row r="19" customFormat="false" ht="15" hidden="false" customHeight="false" outlineLevel="0" collapsed="false">
      <c r="A19" s="21" t="s">
        <v>86</v>
      </c>
      <c r="B19" s="22" t="n">
        <v>61</v>
      </c>
      <c r="C19" s="23" t="s">
        <v>87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99</v>
      </c>
      <c r="C23" s="25" t="n">
        <v>1.5</v>
      </c>
      <c r="D23" s="26" t="n">
        <v>55</v>
      </c>
      <c r="E23" s="27" t="n">
        <v>15</v>
      </c>
      <c r="F23" s="28" t="n">
        <f aca="false">D23*E23</f>
        <v>825</v>
      </c>
      <c r="G23" s="29" t="n">
        <f aca="false">F23/B8</f>
        <v>0.880281690140845</v>
      </c>
      <c r="H23" s="30" t="n">
        <f aca="false">G23-1</f>
        <v>-0.119718309859155</v>
      </c>
      <c r="I23" s="30" t="n">
        <f aca="false">G23^(1/C23)-1</f>
        <v>-0.0814958721344776</v>
      </c>
    </row>
    <row r="24" customFormat="false" ht="15" hidden="false" customHeight="false" outlineLevel="0" collapsed="false">
      <c r="A24" s="21" t="s">
        <v>100</v>
      </c>
      <c r="B24" s="24" t="s">
        <v>99</v>
      </c>
      <c r="C24" s="25" t="n">
        <v>1.5</v>
      </c>
      <c r="D24" s="26" t="n">
        <v>62</v>
      </c>
      <c r="E24" s="27" t="n">
        <v>20</v>
      </c>
      <c r="F24" s="28" t="n">
        <f aca="false">D24*E24</f>
        <v>1240</v>
      </c>
      <c r="G24" s="29" t="n">
        <f aca="false">F24/B8</f>
        <v>1.32309005548442</v>
      </c>
      <c r="H24" s="30" t="n">
        <f aca="false">G24-1</f>
        <v>0.323090055484422</v>
      </c>
      <c r="I24" s="30" t="n">
        <f aca="false">G24^(1/C24)-1</f>
        <v>0.205201333397402</v>
      </c>
    </row>
    <row r="25" customFormat="false" ht="15" hidden="false" customHeight="false" outlineLevel="0" collapsed="false">
      <c r="A25" s="21" t="s">
        <v>101</v>
      </c>
      <c r="B25" s="24" t="s">
        <v>102</v>
      </c>
      <c r="C25" s="25" t="n">
        <v>2.5</v>
      </c>
      <c r="D25" s="26" t="n">
        <v>110</v>
      </c>
      <c r="E25" s="27" t="n">
        <v>25</v>
      </c>
      <c r="F25" s="28" t="n">
        <f aca="false">D25*E25</f>
        <v>2750</v>
      </c>
      <c r="G25" s="29" t="n">
        <f aca="false">F25/B8</f>
        <v>2.93427230046948</v>
      </c>
      <c r="H25" s="30" t="n">
        <f aca="false">G25-1</f>
        <v>1.93427230046948</v>
      </c>
      <c r="I25" s="30" t="n">
        <f aca="false">G25^(1/C25)-1</f>
        <v>0.538155226679849</v>
      </c>
    </row>
    <row r="26" customFormat="false" ht="30" hidden="false" customHeight="true" outlineLevel="0" collapsed="false">
      <c r="A26" s="19" t="s">
        <v>103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23.85" hidden="false" customHeight="false" outlineLevel="0" collapsed="false">
      <c r="A30" s="21" t="s">
        <v>98</v>
      </c>
      <c r="B30" s="24" t="s">
        <v>99</v>
      </c>
      <c r="C30" s="25" t="n">
        <v>1.5</v>
      </c>
      <c r="D30" s="5" t="s">
        <v>106</v>
      </c>
      <c r="E30" s="26" t="n">
        <v>1000</v>
      </c>
      <c r="F30" s="29" t="n">
        <f aca="false">E30/B8</f>
        <v>1.06700810926163</v>
      </c>
      <c r="G30" s="30" t="n">
        <f aca="false">F30-1</f>
        <v>0.0670081092616304</v>
      </c>
      <c r="H30" s="30" t="n">
        <f aca="false">F30^(1/C30)-1</f>
        <v>0.0441874761888403</v>
      </c>
    </row>
    <row r="31" customFormat="false" ht="23.85" hidden="false" customHeight="false" outlineLevel="0" collapsed="false">
      <c r="A31" s="21" t="s">
        <v>100</v>
      </c>
      <c r="B31" s="24" t="s">
        <v>99</v>
      </c>
      <c r="C31" s="25" t="n">
        <v>1.5</v>
      </c>
      <c r="D31" s="5" t="s">
        <v>107</v>
      </c>
      <c r="E31" s="26" t="n">
        <v>1200</v>
      </c>
      <c r="F31" s="29" t="n">
        <f aca="false">E31/B8</f>
        <v>1.28040973111396</v>
      </c>
      <c r="G31" s="30" t="n">
        <f aca="false">F31-1</f>
        <v>0.280409731113956</v>
      </c>
      <c r="H31" s="30" t="n">
        <f aca="false">F31^(1/C31)-1</f>
        <v>0.17914164320006</v>
      </c>
    </row>
    <row r="32" customFormat="false" ht="15" hidden="false" customHeight="false" outlineLevel="0" collapsed="false">
      <c r="A32" s="21" t="s">
        <v>101</v>
      </c>
      <c r="B32" s="24" t="s">
        <v>102</v>
      </c>
      <c r="C32" s="25" t="n">
        <v>2.5</v>
      </c>
      <c r="D32" s="5" t="s">
        <v>108</v>
      </c>
      <c r="E32" s="26" t="n">
        <v>1800</v>
      </c>
      <c r="F32" s="29" t="n">
        <f aca="false">E32/B8</f>
        <v>1.92061459667093</v>
      </c>
      <c r="G32" s="30" t="n">
        <f aca="false">F32-1</f>
        <v>0.920614596670935</v>
      </c>
      <c r="H32" s="30" t="n">
        <f aca="false">F32^(1/C32)-1</f>
        <v>0.298303088031223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1220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1.30174989329919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0.301749893299189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0.192207090740371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0.880281690140845</v>
      </c>
      <c r="C40" s="31" t="n">
        <f aca="false">MAX(G25,F32)</f>
        <v>2.93427230046948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114</v>
      </c>
    </row>
    <row r="45" customFormat="false" ht="15" hidden="false" customHeight="false" outlineLevel="0" collapsed="false">
      <c r="A45" s="2" t="s">
        <v>115</v>
      </c>
    </row>
    <row r="46" customFormat="false" ht="15" hidden="false" customHeight="false" outlineLevel="0" collapsed="false">
      <c r="A46" s="2" t="s">
        <v>116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12" t="s">
        <v>21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22</v>
      </c>
    </row>
    <row r="6" customFormat="false" ht="15" hidden="false" customHeight="false" outlineLevel="0" collapsed="false">
      <c r="A6" s="14" t="s">
        <v>5</v>
      </c>
      <c r="B6" s="16" t="n">
        <v>39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42.9</v>
      </c>
    </row>
    <row r="9" customFormat="false" ht="39.75" hidden="false" customHeight="true" outlineLevel="0" collapsed="false">
      <c r="A9" s="14" t="s">
        <v>75</v>
      </c>
      <c r="B9" s="19" t="s">
        <v>118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119</v>
      </c>
      <c r="B15" s="22" t="n">
        <v>15</v>
      </c>
      <c r="C15" s="23" t="s">
        <v>120</v>
      </c>
    </row>
    <row r="16" customFormat="false" ht="15" hidden="false" customHeight="false" outlineLevel="0" collapsed="false">
      <c r="A16" s="21" t="s">
        <v>121</v>
      </c>
      <c r="B16" s="22" t="n">
        <v>15.7</v>
      </c>
      <c r="C16" s="23" t="s">
        <v>122</v>
      </c>
    </row>
    <row r="17" customFormat="false" ht="15" hidden="false" customHeight="false" outlineLevel="0" collapsed="false">
      <c r="A17" s="21" t="s">
        <v>123</v>
      </c>
      <c r="B17" s="22" t="n">
        <v>7.3</v>
      </c>
      <c r="C17" s="23" t="s">
        <v>124</v>
      </c>
    </row>
    <row r="18" customFormat="false" ht="15" hidden="false" customHeight="false" outlineLevel="0" collapsed="false">
      <c r="A18" s="21" t="s">
        <v>125</v>
      </c>
      <c r="B18" s="22" t="n">
        <v>6.3</v>
      </c>
      <c r="C18" s="23" t="s">
        <v>126</v>
      </c>
    </row>
    <row r="19" customFormat="false" ht="15" hidden="false" customHeight="false" outlineLevel="0" collapsed="false">
      <c r="A19" s="21" t="s">
        <v>127</v>
      </c>
      <c r="B19" s="22" t="n">
        <v>2.6</v>
      </c>
      <c r="C19" s="23" t="s">
        <v>128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102</v>
      </c>
      <c r="C23" s="25" t="n">
        <v>2.5</v>
      </c>
      <c r="D23" s="26" t="n">
        <v>1.5</v>
      </c>
      <c r="E23" s="27" t="n">
        <v>12</v>
      </c>
      <c r="F23" s="28" t="n">
        <f aca="false">D23*E23</f>
        <v>18</v>
      </c>
      <c r="G23" s="29" t="n">
        <f aca="false">F23/B8</f>
        <v>0.41958041958042</v>
      </c>
      <c r="H23" s="30" t="n">
        <f aca="false">G23-1</f>
        <v>-0.58041958041958</v>
      </c>
      <c r="I23" s="30" t="n">
        <f aca="false">G23^(1/C23)-1</f>
        <v>-0.293477356564767</v>
      </c>
    </row>
    <row r="24" customFormat="false" ht="15" hidden="false" customHeight="false" outlineLevel="0" collapsed="false">
      <c r="A24" s="21" t="s">
        <v>100</v>
      </c>
      <c r="B24" s="24" t="s">
        <v>102</v>
      </c>
      <c r="C24" s="25" t="n">
        <v>2.5</v>
      </c>
      <c r="D24" s="26" t="n">
        <v>3.5</v>
      </c>
      <c r="E24" s="27" t="n">
        <v>18</v>
      </c>
      <c r="F24" s="28" t="n">
        <f aca="false">D24*E24</f>
        <v>63</v>
      </c>
      <c r="G24" s="29" t="n">
        <f aca="false">F24/B8</f>
        <v>1.46853146853147</v>
      </c>
      <c r="H24" s="30" t="n">
        <f aca="false">G24-1</f>
        <v>0.468531468531468</v>
      </c>
      <c r="I24" s="30" t="n">
        <f aca="false">G24^(1/C24)-1</f>
        <v>0.166147009515724</v>
      </c>
    </row>
    <row r="25" customFormat="false" ht="15" hidden="false" customHeight="false" outlineLevel="0" collapsed="false">
      <c r="A25" s="21" t="s">
        <v>101</v>
      </c>
      <c r="B25" s="24" t="s">
        <v>129</v>
      </c>
      <c r="C25" s="25" t="n">
        <v>3.5</v>
      </c>
      <c r="D25" s="26" t="n">
        <v>8</v>
      </c>
      <c r="E25" s="27" t="n">
        <v>22</v>
      </c>
      <c r="F25" s="28" t="n">
        <f aca="false">D25*E25</f>
        <v>176</v>
      </c>
      <c r="G25" s="29" t="n">
        <f aca="false">F25/B8</f>
        <v>4.1025641025641</v>
      </c>
      <c r="H25" s="30" t="n">
        <f aca="false">G25-1</f>
        <v>3.1025641025641</v>
      </c>
      <c r="I25" s="30" t="n">
        <f aca="false">G25^(1/C25)-1</f>
        <v>0.496782437585016</v>
      </c>
    </row>
    <row r="26" customFormat="false" ht="30" hidden="false" customHeight="true" outlineLevel="0" collapsed="false">
      <c r="A26" s="19" t="s">
        <v>130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102</v>
      </c>
      <c r="C30" s="25" t="n">
        <v>2.5</v>
      </c>
      <c r="D30" s="5" t="s">
        <v>131</v>
      </c>
      <c r="E30" s="26" t="n">
        <v>35</v>
      </c>
      <c r="F30" s="29" t="n">
        <f aca="false">E30/B8</f>
        <v>0.815850815850816</v>
      </c>
      <c r="G30" s="30" t="n">
        <f aca="false">F30-1</f>
        <v>-0.184149184149184</v>
      </c>
      <c r="H30" s="30" t="n">
        <f aca="false">F30^(1/C30)-1</f>
        <v>-0.078183874887237</v>
      </c>
    </row>
    <row r="31" customFormat="false" ht="15" hidden="false" customHeight="false" outlineLevel="0" collapsed="false">
      <c r="A31" s="21" t="s">
        <v>100</v>
      </c>
      <c r="B31" s="24" t="s">
        <v>102</v>
      </c>
      <c r="C31" s="25" t="n">
        <v>2.5</v>
      </c>
      <c r="D31" s="5" t="s">
        <v>132</v>
      </c>
      <c r="E31" s="26" t="n">
        <v>70</v>
      </c>
      <c r="F31" s="29" t="n">
        <f aca="false">E31/B8</f>
        <v>1.63170163170163</v>
      </c>
      <c r="G31" s="30" t="n">
        <f aca="false">F31-1</f>
        <v>0.631701631701632</v>
      </c>
      <c r="H31" s="30" t="n">
        <f aca="false">F31^(1/C31)-1</f>
        <v>0.216343669364307</v>
      </c>
    </row>
    <row r="32" customFormat="false" ht="15" hidden="false" customHeight="false" outlineLevel="0" collapsed="false">
      <c r="A32" s="21" t="s">
        <v>101</v>
      </c>
      <c r="B32" s="24" t="s">
        <v>129</v>
      </c>
      <c r="C32" s="25" t="n">
        <v>3.5</v>
      </c>
      <c r="D32" s="5" t="s">
        <v>133</v>
      </c>
      <c r="E32" s="26" t="n">
        <v>150</v>
      </c>
      <c r="F32" s="29" t="n">
        <f aca="false">E32/B8</f>
        <v>3.4965034965035</v>
      </c>
      <c r="G32" s="30" t="n">
        <f aca="false">F32-1</f>
        <v>2.4965034965035</v>
      </c>
      <c r="H32" s="30" t="n">
        <f aca="false">F32^(1/C32)-1</f>
        <v>0.42996033366205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66.5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1.55011655011655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0.55011655011655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0.191641834037893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0.41958041958042</v>
      </c>
      <c r="C40" s="31" t="n">
        <f aca="false">MAX(G25,F32)</f>
        <v>4.1025641025641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134</v>
      </c>
    </row>
    <row r="45" customFormat="false" ht="15" hidden="false" customHeight="false" outlineLevel="0" collapsed="false">
      <c r="A45" s="2" t="s">
        <v>135</v>
      </c>
    </row>
    <row r="46" customFormat="false" ht="15" hidden="false" customHeight="false" outlineLevel="0" collapsed="false">
      <c r="A46" s="2" t="s">
        <v>136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27</v>
      </c>
    </row>
    <row r="6" customFormat="false" ht="15" hidden="false" customHeight="false" outlineLevel="0" collapsed="false">
      <c r="A6" s="14" t="s">
        <v>5</v>
      </c>
      <c r="B6" s="16" t="n">
        <v>15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16.5</v>
      </c>
    </row>
    <row r="9" customFormat="false" ht="39.75" hidden="false" customHeight="true" outlineLevel="0" collapsed="false">
      <c r="A9" s="14" t="s">
        <v>75</v>
      </c>
      <c r="B9" s="19" t="s">
        <v>137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138</v>
      </c>
      <c r="B15" s="22" t="n">
        <v>20.7</v>
      </c>
      <c r="C15" s="23" t="s">
        <v>139</v>
      </c>
    </row>
    <row r="16" customFormat="false" ht="15" hidden="false" customHeight="false" outlineLevel="0" collapsed="false">
      <c r="A16" s="21" t="s">
        <v>140</v>
      </c>
      <c r="B16" s="22" t="n">
        <v>17</v>
      </c>
      <c r="C16" s="23" t="s">
        <v>141</v>
      </c>
    </row>
    <row r="17" customFormat="false" ht="15" hidden="false" customHeight="false" outlineLevel="0" collapsed="false">
      <c r="A17" s="21" t="s">
        <v>142</v>
      </c>
      <c r="B17" s="22" t="n">
        <v>9</v>
      </c>
      <c r="C17" s="23" t="s">
        <v>143</v>
      </c>
    </row>
    <row r="18" customFormat="false" ht="15" hidden="false" customHeight="false" outlineLevel="0" collapsed="false">
      <c r="A18" s="21" t="s">
        <v>144</v>
      </c>
      <c r="B18" s="22" t="n">
        <v>5.9</v>
      </c>
      <c r="C18" s="23" t="s">
        <v>145</v>
      </c>
    </row>
    <row r="19" customFormat="false" ht="15" hidden="false" customHeight="false" outlineLevel="0" collapsed="false">
      <c r="A19" s="21" t="s">
        <v>146</v>
      </c>
      <c r="B19" s="22" t="n">
        <v>2.1</v>
      </c>
      <c r="C19" s="23" t="s">
        <v>147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102</v>
      </c>
      <c r="C23" s="25" t="n">
        <v>2.5</v>
      </c>
      <c r="D23" s="26" t="n">
        <v>1.2</v>
      </c>
      <c r="E23" s="27" t="n">
        <v>8</v>
      </c>
      <c r="F23" s="28" t="n">
        <f aca="false">D23*E23</f>
        <v>9.6</v>
      </c>
      <c r="G23" s="29" t="n">
        <f aca="false">F23/B8</f>
        <v>0.581818181818182</v>
      </c>
      <c r="H23" s="30" t="n">
        <f aca="false">G23-1</f>
        <v>-0.418181818181818</v>
      </c>
      <c r="I23" s="30" t="n">
        <f aca="false">G23^(1/C23)-1</f>
        <v>-0.194779328444271</v>
      </c>
    </row>
    <row r="24" customFormat="false" ht="15" hidden="false" customHeight="false" outlineLevel="0" collapsed="false">
      <c r="A24" s="21" t="s">
        <v>100</v>
      </c>
      <c r="B24" s="24" t="s">
        <v>102</v>
      </c>
      <c r="C24" s="25" t="n">
        <v>2.5</v>
      </c>
      <c r="D24" s="26" t="n">
        <v>2.5</v>
      </c>
      <c r="E24" s="27" t="n">
        <v>15</v>
      </c>
      <c r="F24" s="28" t="n">
        <f aca="false">D24*E24</f>
        <v>37.5</v>
      </c>
      <c r="G24" s="29" t="n">
        <f aca="false">F24/B8</f>
        <v>2.27272727272727</v>
      </c>
      <c r="H24" s="30" t="n">
        <f aca="false">G24-1</f>
        <v>1.27272727272727</v>
      </c>
      <c r="I24" s="30" t="n">
        <f aca="false">G24^(1/C24)-1</f>
        <v>0.388733555708948</v>
      </c>
    </row>
    <row r="25" customFormat="false" ht="15" hidden="false" customHeight="false" outlineLevel="0" collapsed="false">
      <c r="A25" s="21" t="s">
        <v>101</v>
      </c>
      <c r="B25" s="24" t="s">
        <v>148</v>
      </c>
      <c r="C25" s="25" t="n">
        <v>4</v>
      </c>
      <c r="D25" s="26" t="n">
        <v>5</v>
      </c>
      <c r="E25" s="27" t="n">
        <v>18</v>
      </c>
      <c r="F25" s="28" t="n">
        <f aca="false">D25*E25</f>
        <v>90</v>
      </c>
      <c r="G25" s="29" t="n">
        <f aca="false">F25/B8</f>
        <v>5.45454545454545</v>
      </c>
      <c r="H25" s="30" t="n">
        <f aca="false">G25-1</f>
        <v>4.45454545454545</v>
      </c>
      <c r="I25" s="30" t="n">
        <f aca="false">G25^(1/C25)-1</f>
        <v>0.528233238901892</v>
      </c>
    </row>
    <row r="26" customFormat="false" ht="30" hidden="false" customHeight="true" outlineLevel="0" collapsed="false">
      <c r="A26" s="19" t="s">
        <v>149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102</v>
      </c>
      <c r="C30" s="25" t="n">
        <v>2.5</v>
      </c>
      <c r="D30" s="5" t="s">
        <v>150</v>
      </c>
      <c r="E30" s="26" t="n">
        <v>20</v>
      </c>
      <c r="F30" s="29" t="n">
        <f aca="false">E30/B8</f>
        <v>1.21212121212121</v>
      </c>
      <c r="G30" s="30" t="n">
        <f aca="false">F30-1</f>
        <v>0.212121212121212</v>
      </c>
      <c r="H30" s="30" t="n">
        <f aca="false">F30^(1/C30)-1</f>
        <v>0.0799867332781674</v>
      </c>
    </row>
    <row r="31" customFormat="false" ht="23.85" hidden="false" customHeight="false" outlineLevel="0" collapsed="false">
      <c r="A31" s="21" t="s">
        <v>100</v>
      </c>
      <c r="B31" s="24" t="s">
        <v>102</v>
      </c>
      <c r="C31" s="25" t="n">
        <v>2.5</v>
      </c>
      <c r="D31" s="5" t="s">
        <v>151</v>
      </c>
      <c r="E31" s="26" t="n">
        <v>40</v>
      </c>
      <c r="F31" s="29" t="n">
        <f aca="false">E31/B8</f>
        <v>2.42424242424242</v>
      </c>
      <c r="G31" s="30" t="n">
        <f aca="false">F31-1</f>
        <v>1.42424242424242</v>
      </c>
      <c r="H31" s="30" t="n">
        <f aca="false">F31^(1/C31)-1</f>
        <v>0.425051038090318</v>
      </c>
    </row>
    <row r="32" customFormat="false" ht="23.85" hidden="false" customHeight="false" outlineLevel="0" collapsed="false">
      <c r="A32" s="21" t="s">
        <v>101</v>
      </c>
      <c r="B32" s="24" t="s">
        <v>148</v>
      </c>
      <c r="C32" s="25" t="n">
        <v>4</v>
      </c>
      <c r="D32" s="5" t="s">
        <v>152</v>
      </c>
      <c r="E32" s="26" t="n">
        <v>80</v>
      </c>
      <c r="F32" s="29" t="n">
        <f aca="false">E32/B8</f>
        <v>4.84848484848485</v>
      </c>
      <c r="G32" s="30" t="n">
        <f aca="false">F32-1</f>
        <v>3.84848484848485</v>
      </c>
      <c r="H32" s="30" t="n">
        <f aca="false">F32^(1/C32)-1</f>
        <v>0.483889325473002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38.75</v>
      </c>
    </row>
    <row r="37" customFormat="false" ht="15" hidden="false" customHeight="false" outlineLevel="0" collapsed="false">
      <c r="A37" s="0" t="s">
        <v>10</v>
      </c>
      <c r="B37" s="31" t="n">
        <f aca="false">B36/B8</f>
        <v>2.34848484848485</v>
      </c>
    </row>
    <row r="38" customFormat="false" ht="15" hidden="false" customHeight="false" outlineLevel="0" collapsed="false">
      <c r="A38" s="0" t="s">
        <v>11</v>
      </c>
      <c r="B38" s="32" t="n">
        <f aca="false">B37-1</f>
        <v>1.34848484848485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0.407068060803701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0.581818181818182</v>
      </c>
      <c r="C40" s="31" t="n">
        <f aca="false">MAX(G25,F32)</f>
        <v>5.45454545454545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153</v>
      </c>
    </row>
    <row r="45" customFormat="false" ht="15" hidden="false" customHeight="false" outlineLevel="0" collapsed="false">
      <c r="A45" s="2" t="s">
        <v>154</v>
      </c>
    </row>
    <row r="46" customFormat="false" ht="15" hidden="false" customHeight="false" outlineLevel="0" collapsed="false">
      <c r="A46" s="2" t="s">
        <v>155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12" t="s">
        <v>31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32</v>
      </c>
    </row>
    <row r="6" customFormat="false" ht="15" hidden="false" customHeight="false" outlineLevel="0" collapsed="false">
      <c r="A6" s="14" t="s">
        <v>5</v>
      </c>
      <c r="B6" s="16" t="n">
        <v>9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9.9</v>
      </c>
    </row>
    <row r="9" customFormat="false" ht="39.75" hidden="false" customHeight="true" outlineLevel="0" collapsed="false">
      <c r="A9" s="14" t="s">
        <v>75</v>
      </c>
      <c r="B9" s="19" t="s">
        <v>156</v>
      </c>
    </row>
    <row r="10" customFormat="false" ht="15" hidden="false" customHeight="false" outlineLevel="0" collapsed="false">
      <c r="A10" s="14" t="s">
        <v>157</v>
      </c>
      <c r="B10" s="16" t="n">
        <v>50</v>
      </c>
    </row>
    <row r="11" customFormat="false" ht="15" hidden="false" customHeight="false" outlineLevel="0" collapsed="false">
      <c r="A11" s="14" t="s">
        <v>158</v>
      </c>
      <c r="B11" s="18" t="n">
        <f aca="false">B10</f>
        <v>50</v>
      </c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121</v>
      </c>
      <c r="B15" s="22" t="n">
        <v>8</v>
      </c>
      <c r="C15" s="23" t="s">
        <v>159</v>
      </c>
    </row>
    <row r="16" customFormat="false" ht="15" hidden="false" customHeight="false" outlineLevel="0" collapsed="false">
      <c r="A16" s="21" t="s">
        <v>160</v>
      </c>
      <c r="B16" s="22" t="n">
        <v>4</v>
      </c>
      <c r="C16" s="23" t="s">
        <v>161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148</v>
      </c>
      <c r="C23" s="25" t="n">
        <v>4</v>
      </c>
      <c r="D23" s="26" t="n">
        <v>0.5</v>
      </c>
      <c r="E23" s="27" t="n">
        <v>20</v>
      </c>
      <c r="F23" s="28" t="n">
        <f aca="false">D23*E23</f>
        <v>10</v>
      </c>
      <c r="G23" s="29" t="n">
        <f aca="false">F23/B11</f>
        <v>0.2</v>
      </c>
      <c r="H23" s="30" t="n">
        <f aca="false">G23-1</f>
        <v>-0.8</v>
      </c>
      <c r="I23" s="30" t="n">
        <f aca="false">G23^(1/C23)-1</f>
        <v>-0.331259695023578</v>
      </c>
    </row>
    <row r="24" customFormat="false" ht="15" hidden="false" customHeight="false" outlineLevel="0" collapsed="false">
      <c r="A24" s="21" t="s">
        <v>100</v>
      </c>
      <c r="B24" s="24" t="s">
        <v>162</v>
      </c>
      <c r="C24" s="25" t="n">
        <v>5</v>
      </c>
      <c r="D24" s="26" t="n">
        <v>1.5</v>
      </c>
      <c r="E24" s="27" t="n">
        <v>30</v>
      </c>
      <c r="F24" s="28" t="n">
        <f aca="false">D24*E24</f>
        <v>45</v>
      </c>
      <c r="G24" s="29" t="n">
        <f aca="false">F24/B11</f>
        <v>0.9</v>
      </c>
      <c r="H24" s="30" t="n">
        <f aca="false">G24-1</f>
        <v>-0.1</v>
      </c>
      <c r="I24" s="30" t="n">
        <f aca="false">G24^(1/C24)-1</f>
        <v>-0.0208516376390232</v>
      </c>
    </row>
    <row r="25" customFormat="false" ht="15" hidden="false" customHeight="false" outlineLevel="0" collapsed="false">
      <c r="A25" s="21" t="s">
        <v>101</v>
      </c>
      <c r="B25" s="24" t="s">
        <v>163</v>
      </c>
      <c r="C25" s="25" t="n">
        <v>6</v>
      </c>
      <c r="D25" s="26" t="n">
        <v>3</v>
      </c>
      <c r="E25" s="27" t="n">
        <v>40</v>
      </c>
      <c r="F25" s="28" t="n">
        <f aca="false">D25*E25</f>
        <v>120</v>
      </c>
      <c r="G25" s="29" t="n">
        <f aca="false">F25/B11</f>
        <v>2.4</v>
      </c>
      <c r="H25" s="30" t="n">
        <f aca="false">G25-1</f>
        <v>1.4</v>
      </c>
      <c r="I25" s="30" t="n">
        <f aca="false">G25^(1/C25)-1</f>
        <v>0.157093730068718</v>
      </c>
    </row>
    <row r="26" customFormat="false" ht="30" hidden="false" customHeight="true" outlineLevel="0" collapsed="false">
      <c r="A26" s="19" t="s">
        <v>164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148</v>
      </c>
      <c r="C30" s="25" t="n">
        <v>4</v>
      </c>
      <c r="D30" s="5" t="s">
        <v>165</v>
      </c>
      <c r="E30" s="26" t="n">
        <v>42</v>
      </c>
      <c r="F30" s="29" t="n">
        <f aca="false">E30/B11</f>
        <v>0.84</v>
      </c>
      <c r="G30" s="30" t="n">
        <f aca="false">F30-1</f>
        <v>-0.16</v>
      </c>
      <c r="H30" s="30" t="n">
        <f aca="false">F30^(1/C30)-1</f>
        <v>-0.0426520282618405</v>
      </c>
    </row>
    <row r="31" customFormat="false" ht="15" hidden="false" customHeight="false" outlineLevel="0" collapsed="false">
      <c r="A31" s="21" t="s">
        <v>100</v>
      </c>
      <c r="B31" s="24" t="s">
        <v>162</v>
      </c>
      <c r="C31" s="25" t="n">
        <v>5</v>
      </c>
      <c r="D31" s="5" t="s">
        <v>166</v>
      </c>
      <c r="E31" s="26" t="n">
        <v>80</v>
      </c>
      <c r="F31" s="29" t="n">
        <f aca="false">E31/B11</f>
        <v>1.6</v>
      </c>
      <c r="G31" s="30" t="n">
        <f aca="false">F31-1</f>
        <v>0.6</v>
      </c>
      <c r="H31" s="30" t="n">
        <f aca="false">F31^(1/C31)-1</f>
        <v>0.0985605433061179</v>
      </c>
    </row>
    <row r="32" customFormat="false" ht="23.85" hidden="false" customHeight="false" outlineLevel="0" collapsed="false">
      <c r="A32" s="21" t="s">
        <v>101</v>
      </c>
      <c r="B32" s="24" t="s">
        <v>163</v>
      </c>
      <c r="C32" s="25" t="n">
        <v>6</v>
      </c>
      <c r="D32" s="5" t="s">
        <v>167</v>
      </c>
      <c r="E32" s="26" t="n">
        <v>150</v>
      </c>
      <c r="F32" s="29" t="n">
        <f aca="false">E32/B11</f>
        <v>3</v>
      </c>
      <c r="G32" s="30" t="n">
        <f aca="false">F32-1</f>
        <v>2</v>
      </c>
      <c r="H32" s="30" t="n">
        <f aca="false">F32^(1/C32)-1</f>
        <v>0.200936955176003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62.5</v>
      </c>
    </row>
    <row r="37" customFormat="false" ht="15" hidden="false" customHeight="false" outlineLevel="0" collapsed="false">
      <c r="A37" s="0" t="s">
        <v>10</v>
      </c>
      <c r="B37" s="31" t="n">
        <f aca="false">B36/B11</f>
        <v>1.25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0.25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0.0456395525912732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0.2</v>
      </c>
      <c r="C40" s="31" t="n">
        <f aca="false">MAX(G25,F32)</f>
        <v>3</v>
      </c>
    </row>
    <row r="41" customFormat="false" ht="15" hidden="false" customHeight="false" outlineLevel="0" collapsed="false">
      <c r="A41" s="0" t="s">
        <v>168</v>
      </c>
      <c r="B41" s="31" t="n">
        <f aca="false">B36/B8</f>
        <v>6.31313131313131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169</v>
      </c>
    </row>
    <row r="45" customFormat="false" ht="15" hidden="false" customHeight="false" outlineLevel="0" collapsed="false">
      <c r="A45" s="2" t="s">
        <v>170</v>
      </c>
    </row>
    <row r="46" customFormat="false" ht="15" hidden="false" customHeight="false" outlineLevel="0" collapsed="false">
      <c r="A46" s="2" t="s">
        <v>171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12" t="s">
        <v>36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37</v>
      </c>
    </row>
    <row r="6" customFormat="false" ht="15" hidden="false" customHeight="false" outlineLevel="0" collapsed="false">
      <c r="A6" s="14" t="s">
        <v>5</v>
      </c>
      <c r="B6" s="16" t="n">
        <v>0.82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0.902</v>
      </c>
    </row>
    <row r="9" customFormat="false" ht="39.75" hidden="false" customHeight="true" outlineLevel="0" collapsed="false">
      <c r="A9" s="14" t="s">
        <v>75</v>
      </c>
      <c r="B9" s="19" t="s">
        <v>172</v>
      </c>
    </row>
    <row r="10" customFormat="false" ht="15" hidden="false" customHeight="false" outlineLevel="0" collapsed="false">
      <c r="A10" s="14" t="s">
        <v>173</v>
      </c>
      <c r="B10" s="16" t="n">
        <v>10</v>
      </c>
    </row>
    <row r="11" customFormat="false" ht="15" hidden="false" customHeight="false" outlineLevel="0" collapsed="false">
      <c r="A11" s="14" t="s">
        <v>174</v>
      </c>
      <c r="B11" s="18" t="n">
        <f aca="false">B10*(1+B7)</f>
        <v>11</v>
      </c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119</v>
      </c>
      <c r="B15" s="22" t="n">
        <v>15</v>
      </c>
      <c r="C15" s="23" t="s">
        <v>120</v>
      </c>
    </row>
    <row r="16" customFormat="false" ht="15" hidden="false" customHeight="false" outlineLevel="0" collapsed="false">
      <c r="A16" s="21" t="s">
        <v>175</v>
      </c>
      <c r="B16" s="22" t="n">
        <v>1</v>
      </c>
      <c r="C16" s="23" t="s">
        <v>176</v>
      </c>
    </row>
    <row r="17" customFormat="false" ht="15" hidden="false" customHeight="false" outlineLevel="0" collapsed="false">
      <c r="A17" s="21" t="s">
        <v>177</v>
      </c>
      <c r="B17" s="22" t="n">
        <v>16.8</v>
      </c>
      <c r="C17" s="23" t="s">
        <v>178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148</v>
      </c>
      <c r="C23" s="25" t="n">
        <v>4</v>
      </c>
      <c r="D23" s="26" t="n">
        <v>0.6</v>
      </c>
      <c r="E23" s="27" t="n">
        <v>8</v>
      </c>
      <c r="F23" s="28" t="n">
        <f aca="false">D23*E23</f>
        <v>4.8</v>
      </c>
      <c r="G23" s="29" t="n">
        <f aca="false">F23/B11</f>
        <v>0.436363636363636</v>
      </c>
      <c r="H23" s="30" t="n">
        <f aca="false">G23-1</f>
        <v>-0.563636363636364</v>
      </c>
      <c r="I23" s="30" t="n">
        <f aca="false">G23^(1/C23)-1</f>
        <v>-0.187240343597311</v>
      </c>
    </row>
    <row r="24" customFormat="false" ht="15" hidden="false" customHeight="false" outlineLevel="0" collapsed="false">
      <c r="A24" s="21" t="s">
        <v>100</v>
      </c>
      <c r="B24" s="24" t="s">
        <v>148</v>
      </c>
      <c r="C24" s="25" t="n">
        <v>4</v>
      </c>
      <c r="D24" s="26" t="n">
        <v>2</v>
      </c>
      <c r="E24" s="27" t="n">
        <v>15</v>
      </c>
      <c r="F24" s="28" t="n">
        <f aca="false">D24*E24</f>
        <v>30</v>
      </c>
      <c r="G24" s="29" t="n">
        <f aca="false">F24/B11</f>
        <v>2.72727272727273</v>
      </c>
      <c r="H24" s="30" t="n">
        <f aca="false">G24-1</f>
        <v>1.72727272727273</v>
      </c>
      <c r="I24" s="30" t="n">
        <f aca="false">G24^(1/C24)-1</f>
        <v>0.285085852264175</v>
      </c>
    </row>
    <row r="25" customFormat="false" ht="15" hidden="false" customHeight="false" outlineLevel="0" collapsed="false">
      <c r="A25" s="21" t="s">
        <v>101</v>
      </c>
      <c r="B25" s="24" t="s">
        <v>162</v>
      </c>
      <c r="C25" s="25" t="n">
        <v>5</v>
      </c>
      <c r="D25" s="26" t="n">
        <v>4</v>
      </c>
      <c r="E25" s="27" t="n">
        <v>20</v>
      </c>
      <c r="F25" s="28" t="n">
        <f aca="false">D25*E25</f>
        <v>80</v>
      </c>
      <c r="G25" s="29" t="n">
        <f aca="false">F25/B11</f>
        <v>7.27272727272727</v>
      </c>
      <c r="H25" s="30" t="n">
        <f aca="false">G25-1</f>
        <v>6.27272727272727</v>
      </c>
      <c r="I25" s="30" t="n">
        <f aca="false">G25^(1/C25)-1</f>
        <v>0.48709755768206</v>
      </c>
    </row>
    <row r="26" customFormat="false" ht="30" hidden="false" customHeight="true" outlineLevel="0" collapsed="false">
      <c r="A26" s="19" t="s">
        <v>179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148</v>
      </c>
      <c r="C30" s="25" t="n">
        <v>4</v>
      </c>
      <c r="D30" s="5" t="s">
        <v>180</v>
      </c>
      <c r="E30" s="26" t="n">
        <v>10</v>
      </c>
      <c r="F30" s="29" t="n">
        <f aca="false">E30/B11</f>
        <v>0.909090909090909</v>
      </c>
      <c r="G30" s="30" t="n">
        <f aca="false">F30-1</f>
        <v>-0.0909090909090909</v>
      </c>
      <c r="H30" s="30" t="n">
        <f aca="false">F30^(1/C30)-1</f>
        <v>-0.0235459103236895</v>
      </c>
    </row>
    <row r="31" customFormat="false" ht="23.85" hidden="false" customHeight="false" outlineLevel="0" collapsed="false">
      <c r="A31" s="21" t="s">
        <v>100</v>
      </c>
      <c r="B31" s="24" t="s">
        <v>148</v>
      </c>
      <c r="C31" s="25" t="n">
        <v>4</v>
      </c>
      <c r="D31" s="5" t="s">
        <v>181</v>
      </c>
      <c r="E31" s="26" t="n">
        <v>25</v>
      </c>
      <c r="F31" s="29" t="n">
        <f aca="false">E31/B11</f>
        <v>2.27272727272727</v>
      </c>
      <c r="G31" s="30" t="n">
        <f aca="false">F31-1</f>
        <v>1.27272727272727</v>
      </c>
      <c r="H31" s="30" t="n">
        <f aca="false">F31^(1/C31)-1</f>
        <v>0.227826014909612</v>
      </c>
    </row>
    <row r="32" customFormat="false" ht="15" hidden="false" customHeight="false" outlineLevel="0" collapsed="false">
      <c r="A32" s="21" t="s">
        <v>101</v>
      </c>
      <c r="B32" s="24" t="s">
        <v>162</v>
      </c>
      <c r="C32" s="25" t="n">
        <v>5</v>
      </c>
      <c r="D32" s="5" t="s">
        <v>182</v>
      </c>
      <c r="E32" s="26" t="n">
        <v>60</v>
      </c>
      <c r="F32" s="29" t="n">
        <f aca="false">E32/B11</f>
        <v>5.45454545454545</v>
      </c>
      <c r="G32" s="30" t="n">
        <f aca="false">F32-1</f>
        <v>4.45454545454545</v>
      </c>
      <c r="H32" s="30" t="n">
        <f aca="false">F32^(1/C32)-1</f>
        <v>0.403950232284783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27.5</v>
      </c>
    </row>
    <row r="37" customFormat="false" ht="15" hidden="false" customHeight="false" outlineLevel="0" collapsed="false">
      <c r="A37" s="0" t="s">
        <v>10</v>
      </c>
      <c r="B37" s="31" t="n">
        <f aca="false">B36/B11</f>
        <v>2.5</v>
      </c>
    </row>
    <row r="38" customFormat="false" ht="15" hidden="false" customHeight="false" outlineLevel="0" collapsed="false">
      <c r="A38" s="0" t="s">
        <v>11</v>
      </c>
      <c r="B38" s="32" t="n">
        <f aca="false">B37-1</f>
        <v>1.5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0.257433429682936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0.436363636363636</v>
      </c>
      <c r="C40" s="31" t="n">
        <f aca="false">MAX(G25,F32)</f>
        <v>7.27272727272727</v>
      </c>
    </row>
    <row r="41" customFormat="false" ht="15" hidden="false" customHeight="false" outlineLevel="0" collapsed="false">
      <c r="A41" s="0" t="s">
        <v>168</v>
      </c>
      <c r="B41" s="31" t="n">
        <f aca="false">B36/B8</f>
        <v>30.4878048780488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183</v>
      </c>
    </row>
    <row r="45" customFormat="false" ht="15" hidden="false" customHeight="false" outlineLevel="0" collapsed="false">
      <c r="A45" s="2" t="s">
        <v>184</v>
      </c>
    </row>
    <row r="46" customFormat="false" ht="15" hidden="false" customHeight="false" outlineLevel="0" collapsed="false">
      <c r="A46" s="2" t="s">
        <v>185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12" t="s">
        <v>41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42</v>
      </c>
    </row>
    <row r="6" customFormat="false" ht="15" hidden="false" customHeight="false" outlineLevel="0" collapsed="false">
      <c r="A6" s="14" t="s">
        <v>5</v>
      </c>
      <c r="B6" s="16" t="n">
        <v>1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1.1</v>
      </c>
    </row>
    <row r="9" customFormat="false" ht="39.75" hidden="false" customHeight="true" outlineLevel="0" collapsed="false">
      <c r="A9" s="14" t="s">
        <v>75</v>
      </c>
      <c r="B9" s="19" t="s">
        <v>186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82</v>
      </c>
      <c r="B15" s="22" t="n">
        <v>20.6</v>
      </c>
      <c r="C15" s="23" t="s">
        <v>139</v>
      </c>
    </row>
    <row r="16" customFormat="false" ht="15" hidden="false" customHeight="false" outlineLevel="0" collapsed="false">
      <c r="A16" s="21" t="s">
        <v>187</v>
      </c>
      <c r="B16" s="22" t="n">
        <v>24.5</v>
      </c>
      <c r="C16" s="23" t="s">
        <v>139</v>
      </c>
    </row>
    <row r="17" customFormat="false" ht="15" hidden="false" customHeight="false" outlineLevel="0" collapsed="false">
      <c r="A17" s="21" t="s">
        <v>188</v>
      </c>
      <c r="B17" s="22" t="n">
        <v>18</v>
      </c>
      <c r="C17" s="23" t="s">
        <v>139</v>
      </c>
    </row>
    <row r="18" customFormat="false" ht="15" hidden="false" customHeight="false" outlineLevel="0" collapsed="false">
      <c r="A18" s="21" t="s">
        <v>189</v>
      </c>
      <c r="B18" s="22" t="n">
        <v>16.9</v>
      </c>
      <c r="C18" s="23" t="s">
        <v>139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129</v>
      </c>
      <c r="C23" s="25" t="n">
        <v>3</v>
      </c>
      <c r="D23" s="26" t="n">
        <v>0.25</v>
      </c>
      <c r="E23" s="27" t="n">
        <v>8</v>
      </c>
      <c r="F23" s="28" t="n">
        <f aca="false">D23*E23</f>
        <v>2</v>
      </c>
      <c r="G23" s="29" t="n">
        <f aca="false">F23/B8</f>
        <v>1.81818181818182</v>
      </c>
      <c r="H23" s="30" t="n">
        <f aca="false">G23-1</f>
        <v>0.818181818181818</v>
      </c>
      <c r="I23" s="30" t="n">
        <f aca="false">G23^(1/C23)-1</f>
        <v>0.220522444470285</v>
      </c>
    </row>
    <row r="24" customFormat="false" ht="15" hidden="false" customHeight="false" outlineLevel="0" collapsed="false">
      <c r="A24" s="21" t="s">
        <v>100</v>
      </c>
      <c r="B24" s="24" t="s">
        <v>129</v>
      </c>
      <c r="C24" s="25" t="n">
        <v>3</v>
      </c>
      <c r="D24" s="26" t="n">
        <v>0.5</v>
      </c>
      <c r="E24" s="27" t="n">
        <v>12</v>
      </c>
      <c r="F24" s="28" t="n">
        <f aca="false">D24*E24</f>
        <v>6</v>
      </c>
      <c r="G24" s="29" t="n">
        <f aca="false">F24/B8</f>
        <v>5.45454545454545</v>
      </c>
      <c r="H24" s="30" t="n">
        <f aca="false">G24-1</f>
        <v>4.45454545454545</v>
      </c>
      <c r="I24" s="30" t="n">
        <f aca="false">G24^(1/C24)-1</f>
        <v>0.760297971087816</v>
      </c>
    </row>
    <row r="25" customFormat="false" ht="15" hidden="false" customHeight="false" outlineLevel="0" collapsed="false">
      <c r="A25" s="21" t="s">
        <v>101</v>
      </c>
      <c r="B25" s="24" t="s">
        <v>148</v>
      </c>
      <c r="C25" s="25" t="n">
        <v>4</v>
      </c>
      <c r="D25" s="26" t="n">
        <v>1.2</v>
      </c>
      <c r="E25" s="27" t="n">
        <v>15</v>
      </c>
      <c r="F25" s="28" t="n">
        <f aca="false">D25*E25</f>
        <v>18</v>
      </c>
      <c r="G25" s="29" t="n">
        <f aca="false">F25/B8</f>
        <v>16.3636363636364</v>
      </c>
      <c r="H25" s="30" t="n">
        <f aca="false">G25-1</f>
        <v>15.3636363636364</v>
      </c>
      <c r="I25" s="30" t="n">
        <f aca="false">G25^(1/C25)-1</f>
        <v>1.011268051449</v>
      </c>
    </row>
    <row r="26" customFormat="false" ht="30" hidden="false" customHeight="true" outlineLevel="0" collapsed="false">
      <c r="A26" s="19" t="s">
        <v>190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129</v>
      </c>
      <c r="C30" s="25" t="n">
        <v>3</v>
      </c>
      <c r="D30" s="5" t="s">
        <v>191</v>
      </c>
      <c r="E30" s="26" t="n">
        <v>3.5</v>
      </c>
      <c r="F30" s="29" t="n">
        <f aca="false">E30/B8</f>
        <v>3.18181818181818</v>
      </c>
      <c r="G30" s="30" t="n">
        <f aca="false">F30-1</f>
        <v>2.18181818181818</v>
      </c>
      <c r="H30" s="30" t="n">
        <f aca="false">F30^(1/C30)-1</f>
        <v>0.470816363896149</v>
      </c>
    </row>
    <row r="31" customFormat="false" ht="15" hidden="false" customHeight="false" outlineLevel="0" collapsed="false">
      <c r="A31" s="21" t="s">
        <v>100</v>
      </c>
      <c r="B31" s="24" t="s">
        <v>129</v>
      </c>
      <c r="C31" s="25" t="n">
        <v>3</v>
      </c>
      <c r="D31" s="5" t="s">
        <v>192</v>
      </c>
      <c r="E31" s="26" t="n">
        <v>8</v>
      </c>
      <c r="F31" s="29" t="n">
        <f aca="false">E31/B8</f>
        <v>7.27272727272727</v>
      </c>
      <c r="G31" s="30" t="n">
        <f aca="false">F31-1</f>
        <v>6.27272727272727</v>
      </c>
      <c r="H31" s="30" t="n">
        <f aca="false">F31^(1/C31)-1</f>
        <v>0.937458612302929</v>
      </c>
    </row>
    <row r="32" customFormat="false" ht="15" hidden="false" customHeight="false" outlineLevel="0" collapsed="false">
      <c r="A32" s="21" t="s">
        <v>101</v>
      </c>
      <c r="B32" s="24" t="s">
        <v>148</v>
      </c>
      <c r="C32" s="25" t="n">
        <v>4</v>
      </c>
      <c r="D32" s="5" t="s">
        <v>193</v>
      </c>
      <c r="E32" s="26" t="n">
        <v>15</v>
      </c>
      <c r="F32" s="29" t="n">
        <f aca="false">E32/B8</f>
        <v>13.6363636363636</v>
      </c>
      <c r="G32" s="30" t="n">
        <f aca="false">F32-1</f>
        <v>12.6363636363636</v>
      </c>
      <c r="H32" s="30" t="n">
        <f aca="false">F32^(1/C32)-1</f>
        <v>0.921651562947867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7</v>
      </c>
    </row>
    <row r="37" customFormat="false" ht="15" hidden="false" customHeight="false" outlineLevel="0" collapsed="false">
      <c r="A37" s="0" t="s">
        <v>10</v>
      </c>
      <c r="B37" s="31" t="n">
        <f aca="false">B36/B8</f>
        <v>6.36363636363636</v>
      </c>
    </row>
    <row r="38" customFormat="false" ht="15" hidden="false" customHeight="false" outlineLevel="0" collapsed="false">
      <c r="A38" s="0" t="s">
        <v>11</v>
      </c>
      <c r="B38" s="32" t="n">
        <f aca="false">B37-1</f>
        <v>5.36363636363636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0.853112497402596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1.81818181818182</v>
      </c>
      <c r="C40" s="31" t="n">
        <f aca="false">MAX(G25,F32)</f>
        <v>16.3636363636364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194</v>
      </c>
    </row>
    <row r="45" customFormat="false" ht="15" hidden="false" customHeight="false" outlineLevel="0" collapsed="false">
      <c r="A45" s="2" t="s">
        <v>195</v>
      </c>
    </row>
    <row r="46" customFormat="false" ht="15" hidden="false" customHeight="false" outlineLevel="0" collapsed="false">
      <c r="A46" s="2" t="s">
        <v>196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47</v>
      </c>
    </row>
    <row r="6" customFormat="false" ht="15" hidden="false" customHeight="false" outlineLevel="0" collapsed="false">
      <c r="A6" s="14" t="s">
        <v>5</v>
      </c>
      <c r="B6" s="16" t="n">
        <v>190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209</v>
      </c>
    </row>
    <row r="9" customFormat="false" ht="39.75" hidden="false" customHeight="true" outlineLevel="0" collapsed="false">
      <c r="A9" s="14" t="s">
        <v>75</v>
      </c>
      <c r="B9" s="19" t="s">
        <v>197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198</v>
      </c>
      <c r="B15" s="22" t="n">
        <v>21</v>
      </c>
      <c r="C15" s="23" t="s">
        <v>199</v>
      </c>
    </row>
    <row r="16" customFormat="false" ht="15" hidden="false" customHeight="false" outlineLevel="0" collapsed="false">
      <c r="A16" s="21" t="s">
        <v>86</v>
      </c>
      <c r="B16" s="22" t="n">
        <v>61</v>
      </c>
      <c r="C16" s="23" t="s">
        <v>200</v>
      </c>
    </row>
    <row r="17" customFormat="false" ht="15" hidden="false" customHeight="false" outlineLevel="0" collapsed="false">
      <c r="A17" s="21" t="s">
        <v>201</v>
      </c>
      <c r="B17" s="22" t="n">
        <v>10</v>
      </c>
      <c r="C17" s="23" t="s">
        <v>202</v>
      </c>
    </row>
    <row r="18" customFormat="false" ht="15" hidden="false" customHeight="false" outlineLevel="0" collapsed="false">
      <c r="A18" s="21" t="s">
        <v>80</v>
      </c>
      <c r="B18" s="22" t="n">
        <v>10.5</v>
      </c>
      <c r="C18" s="23" t="s">
        <v>203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102</v>
      </c>
      <c r="C23" s="25" t="n">
        <v>2</v>
      </c>
      <c r="D23" s="26" t="n">
        <v>12</v>
      </c>
      <c r="E23" s="27" t="n">
        <v>15</v>
      </c>
      <c r="F23" s="28" t="n">
        <f aca="false">D23*E23</f>
        <v>180</v>
      </c>
      <c r="G23" s="29" t="n">
        <f aca="false">F23/B8</f>
        <v>0.861244019138756</v>
      </c>
      <c r="H23" s="30" t="n">
        <f aca="false">G23-1</f>
        <v>-0.138755980861244</v>
      </c>
      <c r="I23" s="30" t="n">
        <f aca="false">G23^(1/C23)-1</f>
        <v>-0.0719676626653811</v>
      </c>
    </row>
    <row r="24" customFormat="false" ht="15" hidden="false" customHeight="false" outlineLevel="0" collapsed="false">
      <c r="A24" s="21" t="s">
        <v>100</v>
      </c>
      <c r="B24" s="24" t="s">
        <v>102</v>
      </c>
      <c r="C24" s="25" t="n">
        <v>2</v>
      </c>
      <c r="D24" s="26" t="n">
        <v>14</v>
      </c>
      <c r="E24" s="27" t="n">
        <v>20</v>
      </c>
      <c r="F24" s="28" t="n">
        <f aca="false">D24*E24</f>
        <v>280</v>
      </c>
      <c r="G24" s="29" t="n">
        <f aca="false">F24/B8</f>
        <v>1.33971291866029</v>
      </c>
      <c r="H24" s="30" t="n">
        <f aca="false">G24-1</f>
        <v>0.339712918660287</v>
      </c>
      <c r="I24" s="30" t="n">
        <f aca="false">G24^(1/C24)-1</f>
        <v>0.157459683384388</v>
      </c>
    </row>
    <row r="25" customFormat="false" ht="15" hidden="false" customHeight="false" outlineLevel="0" collapsed="false">
      <c r="A25" s="21" t="s">
        <v>101</v>
      </c>
      <c r="B25" s="24" t="s">
        <v>129</v>
      </c>
      <c r="C25" s="25" t="n">
        <v>3</v>
      </c>
      <c r="D25" s="26" t="n">
        <v>20</v>
      </c>
      <c r="E25" s="27" t="n">
        <v>25</v>
      </c>
      <c r="F25" s="28" t="n">
        <f aca="false">D25*E25</f>
        <v>500</v>
      </c>
      <c r="G25" s="29" t="n">
        <f aca="false">F25/B8</f>
        <v>2.39234449760766</v>
      </c>
      <c r="H25" s="30" t="n">
        <f aca="false">G25-1</f>
        <v>1.39234449760766</v>
      </c>
      <c r="I25" s="30" t="n">
        <f aca="false">G25^(1/C25)-1</f>
        <v>0.337440815638592</v>
      </c>
    </row>
    <row r="26" customFormat="false" ht="30" hidden="false" customHeight="true" outlineLevel="0" collapsed="false">
      <c r="A26" s="19" t="s">
        <v>204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15" hidden="false" customHeight="false" outlineLevel="0" collapsed="false">
      <c r="A30" s="21" t="s">
        <v>98</v>
      </c>
      <c r="B30" s="24" t="s">
        <v>102</v>
      </c>
      <c r="C30" s="25" t="n">
        <v>2</v>
      </c>
      <c r="D30" s="5" t="s">
        <v>205</v>
      </c>
      <c r="E30" s="26" t="n">
        <v>190</v>
      </c>
      <c r="F30" s="29" t="n">
        <f aca="false">E30/B8</f>
        <v>0.909090909090909</v>
      </c>
      <c r="G30" s="30" t="n">
        <f aca="false">F30-1</f>
        <v>-0.0909090909090911</v>
      </c>
      <c r="H30" s="30" t="n">
        <f aca="false">F30^(1/C30)-1</f>
        <v>-0.0465374107544078</v>
      </c>
    </row>
    <row r="31" customFormat="false" ht="15" hidden="false" customHeight="false" outlineLevel="0" collapsed="false">
      <c r="A31" s="21" t="s">
        <v>100</v>
      </c>
      <c r="B31" s="24" t="s">
        <v>102</v>
      </c>
      <c r="C31" s="25" t="n">
        <v>2</v>
      </c>
      <c r="D31" s="5" t="s">
        <v>206</v>
      </c>
      <c r="E31" s="26" t="n">
        <v>260</v>
      </c>
      <c r="F31" s="29" t="n">
        <f aca="false">E31/B8</f>
        <v>1.24401913875598</v>
      </c>
      <c r="G31" s="30" t="n">
        <f aca="false">F31-1</f>
        <v>0.244019138755981</v>
      </c>
      <c r="H31" s="30" t="n">
        <f aca="false">F31^(1/C31)-1</f>
        <v>0.115356059182888</v>
      </c>
    </row>
    <row r="32" customFormat="false" ht="23.85" hidden="false" customHeight="false" outlineLevel="0" collapsed="false">
      <c r="A32" s="21" t="s">
        <v>101</v>
      </c>
      <c r="B32" s="24" t="s">
        <v>129</v>
      </c>
      <c r="C32" s="25" t="n">
        <v>3</v>
      </c>
      <c r="D32" s="5" t="s">
        <v>207</v>
      </c>
      <c r="E32" s="26" t="n">
        <v>400</v>
      </c>
      <c r="F32" s="29" t="n">
        <f aca="false">E32/B8</f>
        <v>1.91387559808612</v>
      </c>
      <c r="G32" s="30" t="n">
        <f aca="false">F32-1</f>
        <v>0.913875598086124</v>
      </c>
      <c r="H32" s="30" t="n">
        <f aca="false">F32^(1/C32)-1</f>
        <v>0.241570071097211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270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1.29186602870813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0.291866028708134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0.136602845636124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0.861244019138756</v>
      </c>
      <c r="C40" s="31" t="n">
        <f aca="false">MAX(G25,F32)</f>
        <v>2.39234449760766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208</v>
      </c>
    </row>
    <row r="45" customFormat="false" ht="15" hidden="false" customHeight="false" outlineLevel="0" collapsed="false">
      <c r="A45" s="2" t="s">
        <v>209</v>
      </c>
    </row>
    <row r="46" customFormat="false" ht="15" hidden="false" customHeight="false" outlineLevel="0" collapsed="false">
      <c r="A46" s="2" t="s">
        <v>210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12" t="s">
        <v>51</v>
      </c>
    </row>
    <row r="4" customFormat="false" ht="15" hidden="false" customHeight="false" outlineLevel="0" collapsed="false">
      <c r="A4" s="13" t="s">
        <v>72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4</v>
      </c>
      <c r="B5" s="15" t="s">
        <v>52</v>
      </c>
    </row>
    <row r="6" customFormat="false" ht="15" hidden="false" customHeight="false" outlineLevel="0" collapsed="false">
      <c r="A6" s="14" t="s">
        <v>5</v>
      </c>
      <c r="B6" s="16" t="n">
        <v>22</v>
      </c>
    </row>
    <row r="7" customFormat="false" ht="15" hidden="false" customHeight="false" outlineLevel="0" collapsed="false">
      <c r="A7" s="14" t="s">
        <v>73</v>
      </c>
      <c r="B7" s="17" t="n">
        <v>0.1</v>
      </c>
    </row>
    <row r="8" customFormat="false" ht="15" hidden="false" customHeight="false" outlineLevel="0" collapsed="false">
      <c r="A8" s="14" t="s">
        <v>74</v>
      </c>
      <c r="B8" s="18" t="n">
        <f aca="false">B6*(1+B7)</f>
        <v>24.2</v>
      </c>
    </row>
    <row r="9" customFormat="false" ht="39.75" hidden="false" customHeight="true" outlineLevel="0" collapsed="false">
      <c r="A9" s="14" t="s">
        <v>75</v>
      </c>
      <c r="B9" s="19" t="s">
        <v>211</v>
      </c>
    </row>
    <row r="10" customFormat="false" ht="15" hidden="false" customHeight="false" outlineLevel="0" collapsed="false">
      <c r="A10" s="14"/>
    </row>
    <row r="11" customFormat="false" ht="15" hidden="false" customHeight="false" outlineLevel="0" collapsed="false">
      <c r="A11" s="14"/>
    </row>
    <row r="13" customFormat="false" ht="15" hidden="false" customHeight="false" outlineLevel="0" collapsed="false">
      <c r="A13" s="13" t="s">
        <v>77</v>
      </c>
      <c r="B13" s="13"/>
      <c r="C13" s="13"/>
      <c r="D13" s="13"/>
      <c r="E13" s="13"/>
      <c r="F13" s="13"/>
      <c r="G13" s="13"/>
      <c r="H13" s="13"/>
      <c r="I13" s="13"/>
    </row>
    <row r="14" customFormat="false" ht="15" hidden="false" customHeight="false" outlineLevel="0" collapsed="false">
      <c r="A14" s="20" t="s">
        <v>2</v>
      </c>
      <c r="B14" s="20" t="s">
        <v>78</v>
      </c>
      <c r="C14" s="20" t="s">
        <v>79</v>
      </c>
    </row>
    <row r="15" customFormat="false" ht="15" hidden="false" customHeight="false" outlineLevel="0" collapsed="false">
      <c r="A15" s="21" t="s">
        <v>138</v>
      </c>
      <c r="B15" s="22" t="n">
        <v>20</v>
      </c>
      <c r="C15" s="23" t="s">
        <v>139</v>
      </c>
    </row>
    <row r="16" customFormat="false" ht="15" hidden="false" customHeight="false" outlineLevel="0" collapsed="false">
      <c r="A16" s="21" t="s">
        <v>140</v>
      </c>
      <c r="B16" s="22" t="n">
        <v>13</v>
      </c>
      <c r="C16" s="23" t="s">
        <v>141</v>
      </c>
    </row>
    <row r="17" customFormat="false" ht="15" hidden="false" customHeight="false" outlineLevel="0" collapsed="false">
      <c r="A17" s="21" t="s">
        <v>144</v>
      </c>
      <c r="B17" s="22" t="n">
        <v>7</v>
      </c>
      <c r="C17" s="23" t="s">
        <v>212</v>
      </c>
    </row>
    <row r="18" customFormat="false" ht="15" hidden="false" customHeight="false" outlineLevel="0" collapsed="false">
      <c r="A18" s="21" t="s">
        <v>146</v>
      </c>
      <c r="B18" s="22" t="n">
        <v>2</v>
      </c>
      <c r="C18" s="23" t="s">
        <v>147</v>
      </c>
    </row>
    <row r="21" customFormat="false" ht="15" hidden="false" customHeight="false" outlineLevel="0" collapsed="false">
      <c r="A21" s="13" t="s">
        <v>88</v>
      </c>
      <c r="B21" s="13"/>
      <c r="C21" s="13"/>
      <c r="D21" s="13"/>
      <c r="E21" s="13"/>
      <c r="F21" s="13"/>
      <c r="G21" s="13"/>
      <c r="H21" s="13"/>
      <c r="I21" s="13"/>
    </row>
    <row r="22" customFormat="false" ht="30" hidden="false" customHeight="true" outlineLevel="0" collapsed="false">
      <c r="A22" s="3" t="s">
        <v>89</v>
      </c>
      <c r="B22" s="3" t="s">
        <v>90</v>
      </c>
      <c r="C22" s="3" t="s">
        <v>91</v>
      </c>
      <c r="D22" s="3" t="s">
        <v>92</v>
      </c>
      <c r="E22" s="3" t="s">
        <v>93</v>
      </c>
      <c r="F22" s="3" t="s">
        <v>94</v>
      </c>
      <c r="G22" s="3" t="s">
        <v>95</v>
      </c>
      <c r="H22" s="3" t="s">
        <v>96</v>
      </c>
      <c r="I22" s="3" t="s">
        <v>97</v>
      </c>
    </row>
    <row r="23" customFormat="false" ht="15" hidden="false" customHeight="false" outlineLevel="0" collapsed="false">
      <c r="A23" s="21" t="s">
        <v>98</v>
      </c>
      <c r="B23" s="24" t="s">
        <v>102</v>
      </c>
      <c r="C23" s="25" t="n">
        <v>2</v>
      </c>
      <c r="D23" s="26" t="n">
        <v>2</v>
      </c>
      <c r="E23" s="27" t="n">
        <v>8</v>
      </c>
      <c r="F23" s="28" t="n">
        <f aca="false">D23*E23</f>
        <v>16</v>
      </c>
      <c r="G23" s="29" t="n">
        <f aca="false">F23/B8</f>
        <v>0.661157024793388</v>
      </c>
      <c r="H23" s="30" t="n">
        <f aca="false">G23-1</f>
        <v>-0.338842975206612</v>
      </c>
      <c r="I23" s="30" t="n">
        <f aca="false">G23^(1/C23)-1</f>
        <v>-0.186884371818258</v>
      </c>
    </row>
    <row r="24" customFormat="false" ht="15" hidden="false" customHeight="false" outlineLevel="0" collapsed="false">
      <c r="A24" s="21" t="s">
        <v>100</v>
      </c>
      <c r="B24" s="24" t="s">
        <v>102</v>
      </c>
      <c r="C24" s="25" t="n">
        <v>2</v>
      </c>
      <c r="D24" s="26" t="n">
        <v>3</v>
      </c>
      <c r="E24" s="27" t="n">
        <v>12</v>
      </c>
      <c r="F24" s="28" t="n">
        <f aca="false">D24*E24</f>
        <v>36</v>
      </c>
      <c r="G24" s="29" t="n">
        <f aca="false">F24/B8</f>
        <v>1.48760330578512</v>
      </c>
      <c r="H24" s="30" t="n">
        <f aca="false">G24-1</f>
        <v>0.487603305785124</v>
      </c>
      <c r="I24" s="30" t="n">
        <f aca="false">G24^(1/C24)-1</f>
        <v>0.219673442272613</v>
      </c>
    </row>
    <row r="25" customFormat="false" ht="15" hidden="false" customHeight="false" outlineLevel="0" collapsed="false">
      <c r="A25" s="21" t="s">
        <v>101</v>
      </c>
      <c r="B25" s="24" t="s">
        <v>148</v>
      </c>
      <c r="C25" s="25" t="n">
        <v>4</v>
      </c>
      <c r="D25" s="26" t="n">
        <v>6</v>
      </c>
      <c r="E25" s="27" t="n">
        <v>15</v>
      </c>
      <c r="F25" s="28" t="n">
        <f aca="false">D25*E25</f>
        <v>90</v>
      </c>
      <c r="G25" s="29" t="n">
        <f aca="false">F25/B8</f>
        <v>3.71900826446281</v>
      </c>
      <c r="H25" s="30" t="n">
        <f aca="false">G25-1</f>
        <v>2.71900826446281</v>
      </c>
      <c r="I25" s="30" t="n">
        <f aca="false">G25^(1/C25)-1</f>
        <v>0.388694725128484</v>
      </c>
    </row>
    <row r="26" customFormat="false" ht="30" hidden="false" customHeight="true" outlineLevel="0" collapsed="false">
      <c r="A26" s="19" t="s">
        <v>213</v>
      </c>
    </row>
    <row r="28" customFormat="false" ht="15" hidden="false" customHeight="false" outlineLevel="0" collapsed="false">
      <c r="A28" s="13" t="s">
        <v>104</v>
      </c>
      <c r="B28" s="13"/>
      <c r="C28" s="13"/>
      <c r="D28" s="13"/>
      <c r="E28" s="13"/>
      <c r="F28" s="13"/>
      <c r="G28" s="13"/>
      <c r="H28" s="13"/>
      <c r="I28" s="13"/>
    </row>
    <row r="29" customFormat="false" ht="30" hidden="false" customHeight="true" outlineLevel="0" collapsed="false">
      <c r="A29" s="3" t="s">
        <v>89</v>
      </c>
      <c r="B29" s="3" t="s">
        <v>90</v>
      </c>
      <c r="C29" s="3" t="s">
        <v>91</v>
      </c>
      <c r="D29" s="3" t="s">
        <v>105</v>
      </c>
      <c r="E29" s="3" t="s">
        <v>94</v>
      </c>
      <c r="F29" s="3" t="s">
        <v>95</v>
      </c>
      <c r="G29" s="3" t="s">
        <v>96</v>
      </c>
      <c r="H29" s="3" t="s">
        <v>97</v>
      </c>
    </row>
    <row r="30" customFormat="false" ht="23.85" hidden="false" customHeight="false" outlineLevel="0" collapsed="false">
      <c r="A30" s="21" t="s">
        <v>98</v>
      </c>
      <c r="B30" s="24" t="s">
        <v>102</v>
      </c>
      <c r="C30" s="25" t="n">
        <v>2</v>
      </c>
      <c r="D30" s="5" t="s">
        <v>214</v>
      </c>
      <c r="E30" s="26" t="n">
        <v>24</v>
      </c>
      <c r="F30" s="29" t="n">
        <f aca="false">E30/B8</f>
        <v>0.991735537190083</v>
      </c>
      <c r="G30" s="30" t="n">
        <f aca="false">F30-1</f>
        <v>-0.00826446280991744</v>
      </c>
      <c r="H30" s="30" t="n">
        <f aca="false">F30^(1/C30)-1</f>
        <v>-0.00414080453606169</v>
      </c>
    </row>
    <row r="31" customFormat="false" ht="15" hidden="false" customHeight="false" outlineLevel="0" collapsed="false">
      <c r="A31" s="21" t="s">
        <v>100</v>
      </c>
      <c r="B31" s="24" t="s">
        <v>102</v>
      </c>
      <c r="C31" s="25" t="n">
        <v>2</v>
      </c>
      <c r="D31" s="5" t="s">
        <v>215</v>
      </c>
      <c r="E31" s="26" t="n">
        <v>40</v>
      </c>
      <c r="F31" s="29" t="n">
        <f aca="false">E31/B8</f>
        <v>1.65289256198347</v>
      </c>
      <c r="G31" s="30" t="n">
        <f aca="false">F31-1</f>
        <v>0.652892561983471</v>
      </c>
      <c r="H31" s="30" t="n">
        <f aca="false">F31^(1/C31)-1</f>
        <v>0.28564869306645</v>
      </c>
    </row>
    <row r="32" customFormat="false" ht="15" hidden="false" customHeight="false" outlineLevel="0" collapsed="false">
      <c r="A32" s="21" t="s">
        <v>101</v>
      </c>
      <c r="B32" s="24" t="s">
        <v>148</v>
      </c>
      <c r="C32" s="25" t="n">
        <v>4</v>
      </c>
      <c r="D32" s="5" t="s">
        <v>216</v>
      </c>
      <c r="E32" s="26" t="n">
        <v>80</v>
      </c>
      <c r="F32" s="29" t="n">
        <f aca="false">E32/B8</f>
        <v>3.30578512396694</v>
      </c>
      <c r="G32" s="30" t="n">
        <f aca="false">F32-1</f>
        <v>2.30578512396694</v>
      </c>
      <c r="H32" s="30" t="n">
        <f aca="false">F32^(1/C32)-1</f>
        <v>0.348399724926484</v>
      </c>
    </row>
    <row r="34" customFormat="false" ht="15" hidden="false" customHeight="false" outlineLevel="0" collapsed="false">
      <c r="A34" s="13" t="s">
        <v>109</v>
      </c>
      <c r="B34" s="13"/>
      <c r="C34" s="13"/>
      <c r="D34" s="13"/>
      <c r="E34" s="13"/>
      <c r="F34" s="13"/>
      <c r="G34" s="13"/>
      <c r="H34" s="13"/>
      <c r="I34" s="13"/>
    </row>
    <row r="35" customFormat="false" ht="15" hidden="false" customHeight="false" outlineLevel="0" collapsed="false">
      <c r="A35" s="2" t="s">
        <v>110</v>
      </c>
    </row>
    <row r="36" customFormat="false" ht="15" hidden="false" customHeight="false" outlineLevel="0" collapsed="false">
      <c r="A36" s="0" t="s">
        <v>111</v>
      </c>
      <c r="B36" s="18" t="n">
        <f aca="false">AVERAGE(F24,E31)</f>
        <v>38</v>
      </c>
    </row>
    <row r="37" customFormat="false" ht="15" hidden="false" customHeight="false" outlineLevel="0" collapsed="false">
      <c r="A37" s="0" t="s">
        <v>10</v>
      </c>
      <c r="B37" s="31" t="n">
        <f aca="false">B36/B8</f>
        <v>1.5702479338843</v>
      </c>
    </row>
    <row r="38" customFormat="false" ht="15" hidden="false" customHeight="false" outlineLevel="0" collapsed="false">
      <c r="A38" s="0" t="s">
        <v>11</v>
      </c>
      <c r="B38" s="32" t="n">
        <f aca="false">B37-1</f>
        <v>0.570247933884297</v>
      </c>
    </row>
    <row r="39" customFormat="false" ht="15" hidden="false" customHeight="false" outlineLevel="0" collapsed="false">
      <c r="A39" s="0" t="s">
        <v>12</v>
      </c>
      <c r="B39" s="32" t="n">
        <f aca="false">B37^(1/C24)-1</f>
        <v>0.253095341099111</v>
      </c>
    </row>
    <row r="40" customFormat="false" ht="15" hidden="false" customHeight="false" outlineLevel="0" collapsed="false">
      <c r="A40" s="0" t="s">
        <v>112</v>
      </c>
      <c r="B40" s="31" t="n">
        <f aca="false">MIN(G23,F30)</f>
        <v>0.661157024793388</v>
      </c>
      <c r="C40" s="31" t="n">
        <f aca="false">MAX(G25,F32)</f>
        <v>3.71900826446281</v>
      </c>
    </row>
    <row r="43" customFormat="false" ht="15" hidden="false" customHeight="false" outlineLevel="0" collapsed="false">
      <c r="A43" s="13" t="s">
        <v>113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217</v>
      </c>
    </row>
    <row r="45" customFormat="false" ht="15" hidden="false" customHeight="false" outlineLevel="0" collapsed="false">
      <c r="A45" s="2" t="s">
        <v>218</v>
      </c>
    </row>
    <row r="46" customFormat="false" ht="15" hidden="false" customHeight="false" outlineLevel="0" collapsed="false">
      <c r="A46" s="2" t="s">
        <v>219</v>
      </c>
    </row>
    <row r="47" customFormat="false" ht="15" hidden="false" customHeight="false" outlineLevel="0" collapsed="false">
      <c r="A47" s="2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2026-08-21T12:57:59Z</dcterms:created>
  <dc:creator>openpyxl</dc:creator>
  <dc:description/>
  <dc:language>en-US</dc:language>
  <cp:lastModifiedBy/>
  <dcterms:modified xsi:type="dcterms:W3CDTF">2026-08-21T12:57:59Z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
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Positron AI" sheetId="7" state="visible" r:id="rId9"/>
    <sheet name="Databricks" sheetId="8" state="visible" r:id="rId10"/>
    <sheet name="VAST Data" sheetId="9" state="visible" r:id="rId11"/>
    <sheet name="ByteDance" sheetId="10" state="visible" r:id="rId12"/>
    <sheet name="Glean" sheetId="11" state="visible" r:id="rId13"/>
    <sheet name="Lightmatter" sheetId="12" state="visible" r:id="rId14"/>
    <sheet name="PsiQuantum" sheetId="13" state="visible" r:id="rId15"/>
    <sheet name="Waymo" sheetId="14" state="visible" r:id="rId16"/>
    <sheet name="Plata" sheetId="15" state="visible" r:id="rId17"/>
    <sheet name="Moonshot AI" sheetId="16" state="visible" r:id="rId18"/>
    <sheet name="Higgsfield" sheetId="17" state="visible" r:id="rId19"/>
    <sheet name="Lambda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<sst xmlns="http://schemas.openxmlformats.org/spreadsheetml/2006/main" count="1322" uniqueCount="416">
  <si>
    <t xml:space="preserve">Veligera Capital — pipeline сделок: расчёт доходности</t>
  </si>
  <si>
    <t xml:space="preserve">Данные на 24.08.2026. Все суммы в $ млрд. Цена на вторичном рынке — индикативный диапазон фактических сделок;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</si>
  <si>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</si>
  <si>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</si>
  <si>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</si>
  <si>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</si>
  <si>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База для вторички</t>
  </si>
  <si>
    <t xml:space="preserve">Вторичный рынок: низ</t>
  </si>
  <si>
    <t xml:space="preserve">Вторичный рынок: верх</t>
  </si>
  <si>
    <t xml:space="preserve">Цена входа (середина)</t>
  </si>
  <si>
    <t xml:space="preserve">Горизонт / выход</t>
  </si>
  <si>
    <t xml:space="preserve">Оценка на выходе</t>
  </si>
  <si>
    <t xml:space="preserve">MOIC (базовый)</t>
  </si>
  <si>
    <t xml:space="preserve">Upside (базовый)</t>
  </si>
  <si>
    <t xml:space="preserve">IRR (базовый)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</si>
  <si>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</si>
  <si>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</si>
  <si>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</si>
  <si>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</si>
  <si>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</si>
  <si>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1–1.5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</si>
  <si>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</si>
  <si>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</si>
  <si>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</si>
  <si>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3–4 года (IPO 2029–2030)</t>
  </si>
  <si>
    <t xml:space="preserve">1X Technologies</t>
  </si>
  <si>
    <t xml:space="preserve">Домашние роботы-помощники</t>
  </si>
  <si>
    <t xml:space="preserve">Series C, до $1 млрд, в процессе — оценка $10+ млрд (предыдущий закрытый: Series B $100 млн, январь 2024, лид EQT Ventures)</t>
  </si>
  <si>
    <t xml:space="preserve">2–3 года (IPO 2029)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</si>
  <si>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</si>
  <si>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</si>
  <si>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</si>
  <si>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2–3 года (IPO 2029 или продажа ICE)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</si>
  <si>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</si>
  <si>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</si>
  <si>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</si>
  <si>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2029–2030)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</si>
  <si>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</si>
  <si>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</si>
  <si>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</si>
  <si>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1–2 года (IPO 2027–2028)</t>
  </si>
  <si>
    <t xml:space="preserve">VAST Data</t>
  </si>
  <si>
    <t xml:space="preserve">Инфраструктура данных для ИИ</t>
  </si>
  <si>
    <t xml:space="preserve">Series F ~$1 млрд ($500 млн первичных + $500 млн выкуп акций), закрыт 22.04.2026; лид Drive Capital, со-лид Access Industries</t>
  </si>
  <si>
    <t xml:space="preserve">2–3 года (IPO 2028)</t>
  </si>
  <si>
    <t xml:space="preserve">ByteDance</t>
  </si>
  <si>
    <t xml:space="preserve">Соцсети и цифровая реклама</t>
  </si>
  <si>
    <t xml:space="preserve">Выкуп акций у сотрудников по $229.50 за акцию, 15.04.2026 (+14.5% к октябрю 2025) — имплайд-оценка $400–450 млрд</t>
  </si>
  <si>
    <t xml:space="preserve">1–2 года (выкуп акций / блок-трейд)</t>
  </si>
  <si>
    <t xml:space="preserve">Glean</t>
  </si>
  <si>
    <t xml:space="preserve">Корпоративный ИИ-поиск</t>
  </si>
  <si>
    <t xml:space="preserve">Series F $150 млн, закрыт 10.06.2025; лид Wellington Management</t>
  </si>
  <si>
    <t xml:space="preserve">Lightmatter</t>
  </si>
  <si>
    <t xml:space="preserve">Фотоника для ИИ-дата-центров</t>
  </si>
  <si>
    <t xml:space="preserve">Series D $400 млн, закрыт в октябре 2024; лид T. Rowe Price (Fidelity, GV, Viking Global, Lockheed Martin)</t>
  </si>
  <si>
    <t xml:space="preserve">PsiQuantum</t>
  </si>
  <si>
    <t xml:space="preserve">Квантовые вычисления</t>
  </si>
  <si>
    <t xml:space="preserve">Series E $1.0 млрд, объявлен 10.09.2025; лиды BlackRock, Baillie Gifford, Temasek (с NVentures/NVIDIA, QIA, Macquarie)</t>
  </si>
  <si>
    <t xml:space="preserve">4–5 лет (IPO 2029–2030)</t>
  </si>
  <si>
    <t xml:space="preserve">Waymo</t>
  </si>
  <si>
    <t xml:space="preserve">Беспилотное такси</t>
  </si>
  <si>
    <t xml:space="preserve">Раунд $16 млрд, объявлен 02.02.2026; лиды Dragoneer, DST Global, Sequoia; Alphabet вложила ~$13 млрд</t>
  </si>
  <si>
    <t xml:space="preserve">3–4 года (IPO / спин-офф 2029–30)</t>
  </si>
  <si>
    <t xml:space="preserve">Plata</t>
  </si>
  <si>
    <t xml:space="preserve">Цифровой банк (Мексика)</t>
  </si>
  <si>
    <t xml:space="preserve">Series C $405 млн, анонс 16.04.2026; лид Bicycle Capital, вошли QIA, BTG Pactual, Valor Capital</t>
  </si>
  <si>
    <t xml:space="preserve">3–4 года (IPO 2029–30)</t>
  </si>
  <si>
    <t xml:space="preserve">Moonshot AI</t>
  </si>
  <si>
    <t xml:space="preserve">Генеративный ИИ (Китай)</t>
  </si>
  <si>
    <t xml:space="preserve">Series F более $3.5 млрд, объявлен 29.07.2026; среди лидов — государственный National AI Industry Investment Fund</t>
  </si>
  <si>
    <t xml:space="preserve">1–2 года (IPO Гонконг)</t>
  </si>
  <si>
    <t xml:space="preserve">Higgsfield AI</t>
  </si>
  <si>
    <t xml:space="preserve">ИИ-видео для рекламы</t>
  </si>
  <si>
    <t xml:space="preserve">Series B $400 млн, закрыт 17.08.2026; лид DST Global, вошли Goldman Sachs Alternatives, Intel Capital, Mirae Asset</t>
  </si>
  <si>
    <t xml:space="preserve">2–3 года (IPO / M&amp;A 2029)</t>
  </si>
  <si>
    <t xml:space="preserve">Lambda</t>
  </si>
  <si>
    <t xml:space="preserve">GPU-облако для ИИ</t>
  </si>
  <si>
    <t xml:space="preserve">Series E более $1.5 млрд, закрыт 18.11.2025; лид TWG Global совместно с US Innovative Technology Fund</t>
  </si>
  <si>
    <t xml:space="preserve">2–3 года (IPO 2027)</t>
  </si>
  <si>
    <t xml:space="preserve">По 1X Technologies и Positron AI последние закрытые раунды устарели, поэтому премия 8–15% считается не от них, а от оценки идущего раунда (1X — Series C ~$10 млрд; Positron — первый транш ~$3.5 млрд).</t>
  </si>
  <si>
    <t xml:space="preserve">Базовый сценарий — среднее двух методов (мультипликаторы публичных аналогов и рыночные якоря) от середины диапазона вторичного рынка. MOIC мин./макс. — границы по всем сценариям обоих методов. Разводнение будущих раундов,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</si>
  <si>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</si>
  <si>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</si>
  <si>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</si>
  <si>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Индикативный диапазон: котировки площадок (Forge, Caplight, Nasdaq Private Market) и фактические сделки. Где котировок нет, применяется премия 8–15% к оценке раунда (для 1X и Positron AI — к оценке идущего раунда). Фактическая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</si>
  <si>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</si>
  <si>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Расчёт от верхней границы даёт доходность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</si>
  <si>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</si>
  <si>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</si>
  <si>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</si>
  <si>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</si>
  <si>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</si>
  <si>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базовый / оптимистичный. В one-pager вынесен базовый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</si>
  <si>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</si>
  <si>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</si>
  <si>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</si>
  <si>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(база вторички, премии,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</si>
  <si>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</si>
  <si>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</si>
  <si>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</si>
  <si>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</si>
  <si>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</si>
  <si>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База для вторичного рынка, $ млрд</t>
  </si>
  <si>
    <t xml:space="preserve">Премия к базе — нижняя граница</t>
  </si>
  <si>
    <t xml:space="preserve">Премия к базе — верхняя граница</t>
  </si>
  <si>
    <t xml:space="preserve">Цена на вторичном рынке — низ, $ млрд</t>
  </si>
  <si>
    <t xml:space="preserve">Цена на вторичном рынке — верх, $ млрд</t>
  </si>
  <si>
    <t xml:space="preserve">Цена входа в расчётах (середина диапазона), $ млрд</t>
  </si>
  <si>
    <t xml:space="preserve">Примечание</t>
  </si>
  <si>
    <t xml:space="preserve">Диапазон = премия 8–15% к оценке последнего раунда. 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</si>
  <si>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</si>
  <si>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</si>
  <si>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</si>
  <si>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</si>
  <si>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</si>
  <si>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</si>
  <si>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</si>
  <si>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</si>
  <si>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</si>
  <si>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</si>
  <si>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</si>
  <si>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</si>
  <si>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</si>
  <si>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</si>
  <si>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</si>
  <si>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</si>
  <si>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</si>
  <si>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</si>
  <si>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</si>
  <si>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</si>
  <si>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</si>
  <si>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</si>
  <si>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</si>
  <si>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</si>
  <si>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Оптимистичный</t>
  </si>
  <si>
    <t xml:space="preserve">2028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</si>
  <si>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</si>
  <si>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</si>
  <si>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</si>
  <si>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</si>
  <si>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в диапазоне $1.5–1.6 трлн</t>
  </si>
  <si>
    <t xml:space="preserve">Траектория крупнейшей публичной компании мира</t>
  </si>
  <si>
    <t xml:space="preserve">5. ИТОГ — БАЗОВЫЙ СЦЕНАРИЙ</t>
  </si>
  <si>
    <t xml:space="preserve">Оценка на выходе (среднее 2 методов), $ млрд</t>
  </si>
  <si>
    <t xml:space="preserve">Доходность инвестора, IRR (базовый)</t>
  </si>
  <si>
    <t xml:space="preserve">Диапазон MOIC (мин. — макс. по всем сценариям)</t>
  </si>
  <si>
    <t xml:space="preserve">Справочно: MOIC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</si>
  <si>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</si>
  <si>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</si>
  <si>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</si>
  <si>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</si>
  <si>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</si>
  <si>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Диапазон — фактические котировки вторичного рынка. Бумага торгуется с дисконтом к Series C: Forge $174.00/акция (13–15.08.2026), Nasdaq Private Market $162.71 (16.06.2026).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</si>
  <si>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</si>
  <si>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</si>
  <si>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</si>
  <si>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</si>
  <si>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</si>
  <si>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</si>
  <si>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</si>
  <si>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</si>
  <si>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</si>
  <si>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</si>
  <si>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</si>
  <si>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2030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</si>
  <si>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</si>
  <si>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</si>
  <si>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</si>
  <si>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</si>
  <si>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</si>
  <si>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</si>
  <si>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</si>
  <si>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Диапазон — фактические котировки вторичного рынка. Оценка идущего Series C — $10+ млрд (The Information); Nasdaq Private Market ~$662/акция (31.07.2026). Закрытый Series B (01.2024, $0.82 млрд) устарел и в расчёте не используется.</t>
  </si>
  <si>
    <t xml:space="preserve">iRobot</t>
  </si>
  <si>
    <t xml:space="preserve">предостерегающий комп: консьюмер-железо без ИИ-рва</t>
  </si>
  <si>
    <t xml:space="preserve">Цель — 100 тыс. роботов/год к концу 2027. Парк 250–350 тыс. штук к 2029 при $20 тыс. за робота или $6 тыс./год подписки даёт выручку $4–6 млрд (базовый сценарий — $5 млрд).</t>
  </si>
  <si>
    <t xml:space="preserve">Оценка на уровне идущего Series C ($10 млрд)</t>
  </si>
  <si>
    <t xml:space="preserve">Паритет с оценкой Figure AI при лидерстве в домашнем сегменте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</si>
  <si>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</si>
  <si>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</si>
  <si>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</si>
  <si>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</si>
  <si>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Диапазон — фактические котировки вторичного рынка. Вторичные сделки идут вблизи апрельской отметки раунда; для справки: Bloomberg/CNBC (04.08.2026) сообщали о переговорах по раунду выше $20 млрд.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</si>
  <si>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</si>
  <si>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</si>
  <si>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</si>
  <si>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</si>
  <si>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</si>
  <si>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</si>
  <si>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</si>
  <si>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</si>
  <si>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</si>
  <si>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</si>
  <si>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</si>
  <si>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</si>
  <si>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</si>
  <si>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</si>
  <si>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</si>
  <si>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</si>
  <si>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</si>
  <si>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База для вторичного рынка, $ млрд (оценка идущего раунда)</t>
  </si>
  <si>
    <t xml:space="preserve">Диапазон — фактические котировки вторичного рынка. Bloomberg (08.07.2026): раунд ~$750 млн двумя траншами по оценкам ~$3.5 и ~$5 млрд — вторичный рынок торгуется по верхней границе этих переговоров, кратно выше Series B.</t>
  </si>
  <si>
    <t xml:space="preserve">Broadcom</t>
  </si>
  <si>
    <t xml:space="preserve">AMD</t>
  </si>
  <si>
    <t xml:space="preserve">Marvell</t>
  </si>
  <si>
    <t xml:space="preserve">2031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</si>
  <si>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</si>
  <si>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</si>
  <si>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</si>
  <si>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</si>
  <si>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</si>
  <si>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</si>
  <si>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</si>
  <si>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Диапазон — фактические котировки вторичного рынка. 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</si>
  <si>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</si>
  <si>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</si>
  <si>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</si>
  <si>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</si>
  <si>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</si>
  <si>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</si>
  <si>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</si>
  <si>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</si>
  <si>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</si>
  <si>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</si>
  <si>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</si>
  <si>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</si>
  <si>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</si>
  <si>
    <t xml:space="preserve">Диапазон — фактические котировки вторичного рынка. Бумага торгуется с дисконтом к апрельскому раунду ($30 млрд): половина сделки Series F пришлась на выкуп акций, что уже удовлетворило часть спроса на выход.</t>
  </si>
  <si>
    <t xml:space="preserve">EV/Revenue — ближайший аналог по профилю роста</t>
  </si>
  <si>
    <t xml:space="preserve">Pure Storage</t>
  </si>
  <si>
    <t xml:space="preserve">хранение данных</t>
  </si>
  <si>
    <t xml:space="preserve">Nutanix</t>
  </si>
  <si>
    <t xml:space="preserve">инфраструктурный софт</t>
  </si>
  <si>
    <t xml:space="preserve">NetApp</t>
  </si>
  <si>
    <t xml:space="preserve">традиционное хранение — нижняя граница</t>
  </si>
  <si>
    <t xml:space="preserve">CARR превысил $500 млн на конец FY2026, цель компании — более $1 млрд к концу FY2027 при валовой марже ~90% и положительном денежном потоке пятый год подряд. Контракт с CoreWeave на $1.17 млрд превышает весь текущий CARR.</t>
  </si>
  <si>
    <t xml:space="preserve">Оценка остаётся на уровне Series F ($30 млрд)</t>
  </si>
  <si>
    <t xml:space="preserve">IPO 2028 при сохранении темпа роста контрактной выручки</t>
  </si>
  <si>
    <t xml:space="preserve">Ре-рейтинг как инфраструктуры ИИ первого эшелона</t>
  </si>
  <si>
    <t xml:space="preserve">• Series F $30 млрд post-money: анонс 22.04.2026; лид Drive Capital, со-лид Access Industries</t>
  </si>
  <si>
    <t xml:space="preserve">• CARR &gt;$500 млн (FY2026), цель &gt;$1 млрд (FY2027), маржа ~90%: данные компании</t>
  </si>
  <si>
    <t xml:space="preserve">• IPO: CEO Ренен Халлак — готовность к листингу к концу 2026 (Axios Pro, 22.04.2026); S-1 не подана</t>
  </si>
  <si>
    <t xml:space="preserve">• Риск концентрации: контракт CoreWeave $1.17 млрд (06.11.2025) больше всего CARR компании</t>
  </si>
  <si>
    <t xml:space="preserve">Диапазон — фактические котировки вторичного рынка. Reuters (февраль 2026): General Atlantic продавал пакет по оценке $550 млрд; к апрелю 2026 биды поднялись выше $600 млрд. Официальный выкуп для сотрудников идёт по более низкой оценке.</t>
  </si>
  <si>
    <t xml:space="preserve">EV/Revenue — прямой аналог по рекламе</t>
  </si>
  <si>
    <t xml:space="preserve">Reddit</t>
  </si>
  <si>
    <t xml:space="preserve">соцсети — верх диапазона</t>
  </si>
  <si>
    <t xml:space="preserve">Tencent</t>
  </si>
  <si>
    <t xml:space="preserve">китайский технологический холдинг</t>
  </si>
  <si>
    <t xml:space="preserve">Kuaishou</t>
  </si>
  <si>
    <t xml:space="preserve">прямой конкурент в Китае — нижняя граница</t>
  </si>
  <si>
    <t xml:space="preserve">Выручка 2025 — около $186 млрд (+20% г/г), фактически вровень с Meta; зарубежная выручка выросла примерно в полтора раза. При сохранении темпа выручка 2027 выходит на $250 млрд; текущая вторичка соответствует ~3.2x EV/Revenue против 7.5x у Meta.</t>
  </si>
  <si>
    <t xml:space="preserve">Оценка остаётся на уровне текущей вторички ($600 млрд)</t>
  </si>
  <si>
    <t xml:space="preserve">Сокращение разрыва в мультипликаторах с Tencent при росте выручки</t>
  </si>
  <si>
    <t xml:space="preserve">Сокращение разрыва в мультипликаторах с Meta</t>
  </si>
  <si>
    <t xml:space="preserve">• Выкуп по $229.50/акция, имплайд $400–450 млрд: китайские деловые СМИ, 15.04.2026</t>
  </si>
  <si>
    <t xml:space="preserve">• Вторичный рынок: $550 млрд (Reuters, февраль 2026), биды выше $600 млрд к апрелю 2026</t>
  </si>
  <si>
    <t xml:space="preserve">• Выручка 2025 ~$186 млрд (+20%): eMarketer, Bloomberg; капзатраты на ИИ в 2026 — около $70 млрд</t>
  </si>
  <si>
    <t xml:space="preserve">• СП по TikTok в США закрыто 22.01.2026 (Oracle, Silver Lake, MGX по 15%); IPO отложено решением совета (май 2026)</t>
  </si>
  <si>
    <t xml:space="preserve">Диапазон — фактические котировки вторичного рынка. Вторичные сделки идут по $44–47 за акцию против $49.09 в Series F — дисконт около 10% к раунду.</t>
  </si>
  <si>
    <t xml:space="preserve">верх диапазона корпоративного софта</t>
  </si>
  <si>
    <t xml:space="preserve">Datadog</t>
  </si>
  <si>
    <t xml:space="preserve">ServiceNow</t>
  </si>
  <si>
    <t xml:space="preserve">EV/Revenue — после падения мультипликаторов в 2026</t>
  </si>
  <si>
    <t xml:space="preserve">ARR превысил $300 млн (май 2026), рост 89% г/г — утроение за 15 месяцев ($100 млн в начале 2025 → $200 млн в декабре → $300 млн в мае). Триггер для IPO аналитики видят на $500 млн — $1 млрд ARR.</t>
  </si>
  <si>
    <t xml:space="preserve">Продажа стратегу по нижней границе (прецедент: Workday купил Sana за $1.1 млрд)</t>
  </si>
  <si>
    <t xml:space="preserve">IPO 2028 в верхней части диапазона $20–25 млрд</t>
  </si>
  <si>
    <t xml:space="preserve">Лидер категории корпоративного ИИ-поиска</t>
  </si>
  <si>
    <t xml:space="preserve">• Series F $150 млн @ $7.2 млрд: 10.06.2025, лид Wellington Management; раунда 2026 года нет</t>
  </si>
  <si>
    <t xml:space="preserve">• ARR &gt;$300 млн (28.05.2026), +89% г/г; более 1 млн пользователей; всего привлечено ~$765 млн</t>
  </si>
  <si>
    <t xml:space="preserve">• Вторичный рынок: $44–47/акция против $49.09 в раунде (дисконт ~10%)</t>
  </si>
  <si>
    <t xml:space="preserve">• Риск: часть выручки — потребление, а не подписка; мультипликаторы корпоративного софта в 2026 сжались</t>
  </si>
  <si>
    <t xml:space="preserve">Диапазон — фактические котировки вторичного рынка. Вторичные сделки идут с небольшой премией к Series D двухлетней давности: Forge $84.48, Hiive $89.53 за акцию (21.08.2026).</t>
  </si>
  <si>
    <t xml:space="preserve">Lumentum</t>
  </si>
  <si>
    <t xml:space="preserve">оптические компоненты</t>
  </si>
  <si>
    <t xml:space="preserve">NTM EV/Revenue</t>
  </si>
  <si>
    <t xml:space="preserve">Coherent</t>
  </si>
  <si>
    <t xml:space="preserve">оптика</t>
  </si>
  <si>
    <t xml:space="preserve">Выручка не раскрывается. Ставка на переход отрасли к оптическим соединениям между чипами: рынок оптики для ИИ-дата-центров растёт с $13.7 млрд (2024) до прогнозных $144 млрд к 2030 году.</t>
  </si>
  <si>
    <t xml:space="preserve">Продажа стратегу по прецеденту Celestial AI (Marvell, $3.25 млрд + earnout)</t>
  </si>
  <si>
    <t xml:space="preserve">IPO или продажа стратегу при выходе технологии в серию</t>
  </si>
  <si>
    <t xml:space="preserve">Стандарт отрасли по оптическим соединениям</t>
  </si>
  <si>
    <t xml:space="preserve">• Series D $400 млн @ $4.4 млрд: октябрь 2024, лид T. Rowe Price; новых раундов нет</t>
  </si>
  <si>
    <t xml:space="preserve">• Вторичный рынок ~$4.6 млрд: Forge и Hiive, 21.08.2026; всего привлечено ~$850 млн</t>
  </si>
  <si>
    <t xml:space="preserve">• Июнь 2026: вошла в экосистему NVIDIA NVLink Fusion; август 2026 — возглавила рабочую группу Open Compute Project из 19 компаний</t>
  </si>
  <si>
    <t xml:space="preserve">• Прецедент M&amp;A: Marvell закрыл покупку Celestial AI 02.02.2026 за $3.25 млрд (до $5.5 млрд с earnout)</t>
  </si>
  <si>
    <t xml:space="preserve">Диапазон — фактические котировки вторичного рынка. Вторичные сделки идут с дисконтом к Series E: бумага доступна дешевле оценки раунда, размещение открыто 12.08.2026.</t>
  </si>
  <si>
    <t xml:space="preserve">IonQ</t>
  </si>
  <si>
    <t xml:space="preserve">капитализация $16.5 млрд к выручке FY26 $280–290 млн</t>
  </si>
  <si>
    <t xml:space="preserve">Rigetti</t>
  </si>
  <si>
    <t xml:space="preserve">капитализация $4.8 млрд к выручке ~$24 млн — премия за ожидания</t>
  </si>
  <si>
    <t xml:space="preserve">D-Wave</t>
  </si>
  <si>
    <t xml:space="preserve">капитализация $6.9 млрд к выручке ~$44 млн</t>
  </si>
  <si>
    <t xml:space="preserve">Quantinuum</t>
  </si>
  <si>
    <t xml:space="preserve">оценка на IPO 04.06.2026, $ млрд</t>
  </si>
  <si>
    <t xml:space="preserve">Компания до выручки: все поступления — государственные и партнёрские контракты. Одна из двух компаний (вместе с Microsoft) в стадии C программы DARPA QBI. Публичные квантовые компании торгуются по 50–200 годовых выручек — сектор оценивают по ожиданиям, а не по финансам.</t>
  </si>
  <si>
    <t xml:space="preserve">Оценка остаётся вблизи Series E ($8 млрд)</t>
  </si>
  <si>
    <t xml:space="preserve">IPO 2029–30 с кратной премией к Quantinuum ($15.6 млрд на листинге в июне 2026)</t>
  </si>
  <si>
    <t xml:space="preserve">Первый в мире отказоустойчивый квантовый компьютер выходит в серию</t>
  </si>
  <si>
    <t xml:space="preserve">• Series E $1.0 млрд @ $7 млрд: 10.09.2025; лиды BlackRock, Baillie Gifford, Temasek</t>
  </si>
  <si>
    <t xml:space="preserve">• Всего мобилизовано ~$3.5–3.7 млрд: ~$2.3 млрд частных + A$940 млн Австралия + &gt;$500 млн Иллинойс + $125 млн DARPA</t>
  </si>
  <si>
    <t xml:space="preserve">• Окно выхода открылось: Quantinuum вышел на Nasdaq 04.06.2026, привлёк $1.68 млрд при оценке ~$15.6 млрд</t>
  </si>
  <si>
    <t xml:space="preserve">• Риски: перенос площадки в Брисбене и сдвиг сроков к 2029–2030, аудит ANAO по австралийской сделке, временный CEO (Виктор Пенг с 10.02.2026), недоказанная отказоустойчивость фотонного подхода</t>
  </si>
  <si>
    <t xml:space="preserve">Диапазон — фактические котировки вторичного рынка. Подтверждённых закрытых сделок вторичного рынка нет: расчётные оценки площадок расходятся в 2.4 раза ($152 / $215 / $364 за акцию). Применена премия 8–15% к оценке раунда.</t>
  </si>
  <si>
    <t xml:space="preserve">Uber</t>
  </si>
  <si>
    <t xml:space="preserve">EV/Revenue при выручке $53.7 млрд TTM</t>
  </si>
  <si>
    <t xml:space="preserve">EV/Revenue, максимум сектора</t>
  </si>
  <si>
    <t xml:space="preserve">Lyft</t>
  </si>
  <si>
    <t xml:space="preserve">EV/Revenue — нижняя граница ride-hailing</t>
  </si>
  <si>
    <t xml:space="preserve">Мультипликатор к текущей выручке к Waymo неприменим: при выручке около $0.4 млрд компания оценена в 250–350x. Метод построен на ПРОГНОЗНОЙ выручке года выхода. Ориентир: ~500 тыс. платных поездок в неделю (март 2026), средний чек около $25 — примерно $0.65 млрд в год; базовый сценарий предполагает рост парка и географии примерно в 20 раз к 2030 году.</t>
  </si>
  <si>
    <t xml:space="preserve">Замедление экспансии после отзывов и расследований, оценка возвращается к уровню раунда 2026 года</t>
  </si>
  <si>
    <t xml:space="preserve">Спин-офф или IPO при доле около 15% рынка ride-hailing США</t>
  </si>
  <si>
    <t xml:space="preserve">Нижняя часть прогноза Deepwater ($350–850 млрд к 2030)</t>
  </si>
  <si>
    <t xml:space="preserve">• Раунд $16 млрд @ $126 млрд post-money, объявлен 02.02.2026; лиды Dragoneer, DST Global, Sequoia. Часть источников (Fortune) даёт заголовок $110 млрд — это pre-money</t>
  </si>
  <si>
    <t xml:space="preserve">• Предыдущий раунд: Series C $5.6 млрд @ $45 млрд, октябрь 2024 — рост в 2.8 раза за 15 месяцев</t>
  </si>
  <si>
    <t xml:space="preserve">• Всего привлечено более $27 млрд; компания сумму официально не раскрывает</t>
  </si>
  <si>
    <t xml:space="preserve">• Около 81% последнего раунда — деньги Alphabet и её структур (CapitalG, GV): оценка $126 млрд установлена не полностью независимым рынком</t>
  </si>
  <si>
    <t xml:space="preserve">• Флот 3 791 автомобиль (регуляторный документ NHTSA); ~500 тыс. платных поездок в неделю (март 2026)</t>
  </si>
  <si>
    <t xml:space="preserve">• Безопасность: исследование Swiss Re на 25.3 млн миль — на 88% меньше претензий по ущербу имуществу, на 92% по травмам</t>
  </si>
  <si>
    <t xml:space="preserve">• Риски: шесть отзывов, три за последние 8 месяцев (май 2026 — весь флот США); открытое расследование NHTSA по школьным автобусам; поездки по фривеям были остановлены с конца мая до 29.07.2026</t>
  </si>
  <si>
    <t xml:space="preserve">• Экономика: убыток сегмента Other Bets $1.8 млрд за Q2 2026 при падении выручки сегмента с $450 до $382 млн</t>
  </si>
  <si>
    <t xml:space="preserve">• IPO: Сундар Пичаи 22.07.2026 подтвердил сохранение Waymo внутри Alphabet. Прогноз спин-оффа за 2–4 года — мнение отдельного управляющего, не консенсус</t>
  </si>
  <si>
    <t xml:space="preserve">• Конкуренция: Baidu Apollo Go более 250 тыс. поездок в неделю; Pony.ai заявила безубыточность юнит-экономики в Гуанчжоу</t>
  </si>
  <si>
    <t xml:space="preserve">Диапазон — фактические котировки вторичного рынка. Публичных котировок нет: компания листингуется на EquityZen и Hiive, но цены за пейволлом. Применена премия 8–15% к оценке раунда. Единственная документированная вторичная сделка прошла внутри Series B по $3.1 млрд.</t>
  </si>
  <si>
    <t xml:space="preserve">Nu Holdings</t>
  </si>
  <si>
    <t xml:space="preserve">P/S — прибыльный аналог, выручка +39% г/г</t>
  </si>
  <si>
    <t xml:space="preserve">Banorte</t>
  </si>
  <si>
    <t xml:space="preserve">P/S — мексиканский банк с отделениями</t>
  </si>
  <si>
    <t xml:space="preserve">Inter&amp;Co</t>
  </si>
  <si>
    <t xml:space="preserve">P/S — нижняя граница для необанка Латинской Америки</t>
  </si>
  <si>
    <t xml:space="preserve">Аннуализированная выручка около $600 млн на кредитном портфеле $800 млн (данные компании, публично не аудированы). Базовый сценарий: рост выручки в 2.7 раза к 2030 году и выход в прибыль, мультипликатор ниже Nubank из-за одного рынка и меньшего масштаба.</t>
  </si>
  <si>
    <t xml:space="preserve">Рост просрочки обгоняет портфель, оценка сжимается к мультипликатору Inter&amp;Co</t>
  </si>
  <si>
    <t xml:space="preserve">IPO по публичному ориентиру основателей (~$10 млрд) с поправкой на достигнутую прибыльность</t>
  </si>
  <si>
    <t xml:space="preserve">Доля рынка карт Мексики уровня Nubank в Бразилии при мультипликаторе 8x</t>
  </si>
  <si>
    <t xml:space="preserve">• Series C $405 млн @ $5.0 млрд post-money, анонс 16.04.2026, лид Bicycle Capital</t>
  </si>
  <si>
    <t xml:space="preserve">• Траектория оценки: $1.5 млрд (03.2025) → $3.1 млрд (10.2025) → $5.0 млрд (04.2026) — рост в 3.3 раза за 13 месяцев</t>
  </si>
  <si>
    <t xml:space="preserve">• Всего привлечено более $2 млрд: акционерного минимум $815 млн, долговая линия до $500 млн под управлением Nomura (декабрь 2025)</t>
  </si>
  <si>
    <t xml:space="preserve">• Третье место в Мексике по числу кредитных карт: более 6.4 млн контрактов (июль 2026), после BBVA (11.8 млн) и Banamex (~10 млн), выше Santander и Banorte</t>
  </si>
  <si>
    <t xml:space="preserve">• Полная лицензия banca multiple — пятый такой игрок; за первый месяц собрано вкладов около MX$3.7 млрд (~$213 млн)</t>
  </si>
  <si>
    <t xml:space="preserve">• РИСК, требующий отдельного внимания: просрочка (IMOR) 6.03% в апреле 2026 против ~3.3% по сегменту карт. Системный фон — просрочка банков Мексики выросла на 14.16% в реальном выражении за 1П2026, максимум за 26 лет</t>
  </si>
  <si>
    <t xml:space="preserve">• Компания НЕ прибыльна: план безубыточности — примерно 2028 год. При этом оценена по 8.3x выручки, почти вровень с прибыльным Nubank (8.5x)</t>
  </si>
  <si>
    <t xml:space="preserve">• Конкуренция: Nu Mexico около 12 млн клиентов и лицензия с апреля 2025; Stori, Klar, Hey Banco, Revolut, Openbank, Mercado Pago</t>
  </si>
  <si>
    <t xml:space="preserve">• IPO официально не заявлено; основатели публично называли ориентир около $10 млрд в среднесрочной перспективе</t>
  </si>
  <si>
    <t xml:space="preserve">• Перед сделкой обязательно запросить квартальную отчётность Banco Plata (prime.platacard.mx): чистый результат, ICAP, стоимость риска</t>
  </si>
  <si>
    <t xml:space="preserve">Диапазон — фактические котировки вторичного рынка. Ликвидного вторичного рынка нет, официальных котировок не существует (Forge показывает оценку $800 млн при реальных $35 млрд). Нижняя граница — премия 8% к закрытому раунду, верхняя отражает идущий pre-IPO раунд по pre-money $50 млрд (финальный клозинг 27.08.2026, уже после даты отсечки).</t>
  </si>
  <si>
    <t xml:space="preserve">Anthropic</t>
  </si>
  <si>
    <t xml:space="preserve">оценка / выручка</t>
  </si>
  <si>
    <t xml:space="preserve">Zhipu AI</t>
  </si>
  <si>
    <t xml:space="preserve">листинг HKEX, оценка ~$112 млрд</t>
  </si>
  <si>
    <t xml:space="preserve">MiniMax</t>
  </si>
  <si>
    <t xml:space="preserve">листинг HKEX, оценка ~$33 млрд</t>
  </si>
  <si>
    <t xml:space="preserve">Baidu</t>
  </si>
  <si>
    <t xml:space="preserve">P/S — капитализация $35.6 млрд почти равна оценке Moonshot</t>
  </si>
  <si>
    <t xml:space="preserve">Годовая выручка выросла со $100 млн до $300 млн за март–июнь 2026, более 70% приходится на API. ВАЖНО: текущий мультипликатор — около 117x выручки против 15–21x у OpenAI и Anthropic, то есть тезис «дешёвая альтернатива Западу» по оценке НЕ подтверждается. Базовый сценарий закладывает четырёхкратный рост выручки к листингу и сжатие мультипликатора.</t>
  </si>
  <si>
    <t xml:space="preserve">Дисконт за нерешённый механизм переноса прав иностранных акционеров при демонтаже VIE</t>
  </si>
  <si>
    <t xml:space="preserve">IPO в Гонконге между MiniMax (~$33 млрд) и Zhipu AI (~$112 млрд)</t>
  </si>
  <si>
    <t xml:space="preserve">Оценка на уровне Zhipu AI после листинга</t>
  </si>
  <si>
    <t xml:space="preserve">• Series F более $3.5 млрд @ ~$35 млрд post-money, объявлен 29.07.2026; книга переподписана более чем втрое при цели $1–2 млрд</t>
  </si>
  <si>
    <t xml:space="preserve">• Идущий pre-IPO раунд по pre-money $50 млрд НЕ закрыт на дату отсечки: заявленный финальный клозинг — 27.08.2026</t>
  </si>
  <si>
    <t xml:space="preserve">• Оценка выросла в 8 раз за 8 месяцев: $4.3 млрд (12.2025) → $35 млрд (07.2026), шесть раундов за год</t>
  </si>
  <si>
    <t xml:space="preserve">• Всего привлечено ~$7.7–8.3 млрд по подтверждённым раундам; единой официальной цифры нет</t>
  </si>
  <si>
    <t xml:space="preserve">• ГЛАВНОЕ ОГРАНИЧЕНИЕ ДОСТУПА: с мая 2026 по требованию CSRC идёт демонтаж офшорной структуры VIE. Компания сообщила акционерам, что механизм переноса прав зарубежных акционеров ЕЩЁ НЕ ОПРЕДЕЛЁН; среди вариантов — продажа офшорных долей. Риск принудительного выхода вместо участия в IPO</t>
  </si>
  <si>
    <t xml:space="preserve">• Для инвесторов из США действует Outbound Investment Security Program (EO 14105, кодифицирован в NDAA FY2026): категория ИИ охвачена прямо. Вход требует отдельной юридической проработки</t>
  </si>
  <si>
    <t xml:space="preserve">• Kimi K3 — первое место среди моделей с открытыми весами (Artificial Analysis Intelligence Index 60), первое место в мире на Frontend Code Arena (Elo 1679), SWE-bench Verified 93.4%</t>
  </si>
  <si>
    <t xml:space="preserve">• Годовая выручка $100 → $200 → $300 млн за март–июнь 2026, более 70% из API, при базе всего 7.45 млн MAU против 382 млн у Doubao</t>
  </si>
  <si>
    <t xml:space="preserve">• IPO: Гонконг, заявка НЕ подана на дату отсечки; таргет подачи — до 30.09.2026, листинг конец 2026 / Q1 2027</t>
  </si>
  <si>
    <t xml:space="preserve">• Риски: DeepSeek дешевле в 7–17 раз и срезал цены ещё вдвое в августе; MAU минус 47% г/г на рынке, растущем на 85%; Alibaba владеет ~36% и конкурирует напрямую через Qwen; аудированной отчётности нет</t>
  </si>
  <si>
    <t xml:space="preserve">• Легальные прокси для западного инвестора: акции Alibaba (~36% Moonshot), Tencent, Meituan, либо публичные Zhipu AI и MiniMax на HKEX</t>
  </si>
  <si>
    <t xml:space="preserve">Диапазон — фактические котировки вторичного рынка. Подтверждённых сделок нет: листинги на Forge, EquityZen и Nasdaq Private Market есть, котировок нет. Данные агрегаторов противоречат друг другу вдвое и противоречат подтверждённым раундам — не использованы. Применена премия 8–15% к оценке раунда.</t>
  </si>
  <si>
    <t xml:space="preserve">Luma AI</t>
  </si>
  <si>
    <t xml:space="preserve">оценка / выручка — верх сектора</t>
  </si>
  <si>
    <t xml:space="preserve">Kling (Kuaishou)</t>
  </si>
  <si>
    <t xml:space="preserve">оценка спин-оффа / выручка</t>
  </si>
  <si>
    <t xml:space="preserve">Synthesia</t>
  </si>
  <si>
    <t xml:space="preserve">Runway</t>
  </si>
  <si>
    <t xml:space="preserve">Higgsfield по заявленной выручке</t>
  </si>
  <si>
    <t xml:space="preserve">$5.4 млрд / $700 млн — втрое ниже медианы сектора</t>
  </si>
  <si>
    <t xml:space="preserve">Модель построена НЕ на заявленной компанией выручке $700 млн, а на независимой оценке Sacra (~$230 млн): обратный счёт по медиане сектора (25–30x) даёт около $215 млн, что сходится с Sacra и расходится с заявлением компании втрое. Базовый сценарий: рост втрое к 2029 году от независимой оценки при сжатии мультипликатора до 20x.</t>
  </si>
  <si>
    <t xml:space="preserve">Потеря доступа к базовым моделям, продажа стратегу за стоимость команды и клиентской базы</t>
  </si>
  <si>
    <t xml:space="preserve">IPO или стратег на уровне Runway и Synthesia с поправкой на более быстрый рост</t>
  </si>
  <si>
    <t xml:space="preserve">Оценка уровня спин-оффа Kling ($15–18 млрд) с премией за рекламный воркфлоу</t>
  </si>
  <si>
    <t xml:space="preserve">• Series B $400 млн @ $5.4 млрд, 17.08.2026, лид DST Global. Рост оценки вчетверо за 8 месяцев (с $1.3 млрд в январе 2026)</t>
  </si>
  <si>
    <t xml:space="preserve">• История: seed $8 млн (2024) → Series A $50 млн / GFT (09.2025) → extension $80 млн / Accel @ $1.3 млрд (01.2026) → Series B. Всего привлечено ~$538 млн</t>
  </si>
  <si>
    <t xml:space="preserve">• Синдикат сменился с венчурного на кроссовер-стратегический (Goldman Sachs Alternatives, Intel Capital, Mirae, NTT DOCOMO, Liberty Global) — типичная предIPO-конфигурация</t>
  </si>
  <si>
    <t xml:space="preserve">• РИСК 1: собственной базовой видеомодели у компании НЕТ. Это надстройка поверх Sora 2, Veo 3.1, Kling 3.0, WAN, Seedance. Своя разработка — только Soul, и та в изображениях. Оценивать следует как дистрибуцию, а не как исследовательскую лабораторию</t>
  </si>
  <si>
    <t xml:space="preserve">• Риск уже реализовался: OpenAI закрывает API Sora 24.09.2026 — Higgsfield теряет компонент, не имея права голоса</t>
  </si>
  <si>
    <t xml:space="preserve">• РИСК 2: расследование Forbes от 11.02.2026 установило, что часть роликов в маркетинговых материалах компании — стоковые шаблоны Envato с нанесёнными логотипами, а не ИИ-генерация. Это подрывает доверие ко всем неаудированным заявлениям, включая финансовые</t>
  </si>
  <si>
    <t xml:space="preserve">• Выручка $700 млн, 30 млн пользователей, 390 компаний из Fortune 500, положительный денежный поток — ИСКЛЮЧИТЕЛЬНО со слов компании. Независимая оценка Sacra: ~$230 млн. Валовая маржа, CAC, LTV, отток и число платящих не раскрыты</t>
  </si>
  <si>
    <t xml:space="preserve">• Капиталоэффективность (подтверждается): до Series B привлечено $138 млн против $859 млн у Runway и $1.06 млрд у Luma</t>
  </si>
  <si>
    <t xml:space="preserve">• Косвенное подтверждение риска ставки на одну модель: OpenAI закрыла Sora, сжигая около $1 млн в день при выручке продукта менее $2.1 млн за всё время</t>
  </si>
  <si>
    <t xml:space="preserve">• Отраслевые прогнозы рынка ИИ-видео некорректны (дают «$2 млрд к 2030», хотя четыре игрока уже делают ~$1.65 млрд в год) — в модели не использованы</t>
  </si>
  <si>
    <t xml:space="preserve">Диапазон — фактические котировки вторичного рынка. Диапазон отражает идущий pre-IPO раунд до $3 млрд по оценке от $12 млрд (Bloomberg) и подписанный 31.08.2026 контракт с Anthropic примерно на $35 млрд, которого на момент этих переговоров ещё не было. Закрытый раунд ноября 2025 ($5.9 млрд) устарел — подход тот же, что по 1X и Positron. Оговорка: оценка $5.9 млрд — расчёт Forge, эмитентом не подтверждена; котировки площадок ($39.32 Forge против $43.16 NPM) не переводятся в оценку без fully diluted share count.</t>
  </si>
  <si>
    <t xml:space="preserve">CoreWeave</t>
  </si>
  <si>
    <t xml:space="preserve">EV/Sales 2026E — главный аналог, выручка Q2'26 $2.58 млрд (+112%)</t>
  </si>
  <si>
    <t xml:space="preserve">CoreWeave по бэклогу</t>
  </si>
  <si>
    <t xml:space="preserve">EV / законтрактованный бэклог ($95 млрд / $129 млрд)</t>
  </si>
  <si>
    <t xml:space="preserve">Nebius</t>
  </si>
  <si>
    <t xml:space="preserve">EV/ARR</t>
  </si>
  <si>
    <t xml:space="preserve">Together AI</t>
  </si>
  <si>
    <t xml:space="preserve">Выручка: $425 млн (2024) → run-rate $760 млн (конец 2025) → более $1.5 млрд ожидается по итогам 2026. Базовый сценарий строится на разгоне контракта с Anthropic: $35 млрд за шесть лет дают в среднем около $5.8 млрд выручки в год после ввода площадки, плюс действующая база и контракт с Microsoft. Мультипликатор 5x — с дисконтом к CoreWeave (6–8x на 2026E) за меньший масштаб и более высокую концентрацию клиентов.</t>
  </si>
  <si>
    <t xml:space="preserve">Сдвиг ввода мощностей Beacon Point и продолжение сжатия мультипликаторов сектора</t>
  </si>
  <si>
    <t xml:space="preserve">IPO 2027 при законтрактованном бэклоге около $35 млрд, мультипликатор к бэклогу с дисконтом к CoreWeave (0.74x)</t>
  </si>
  <si>
    <t xml:space="preserve">Мультипликатор уровня Nebius при полной загрузке 1 ГВт</t>
  </si>
  <si>
    <t xml:space="preserve">• КЛЮЧЕВОЕ СОБЫТИЕ: 31.08.2026 подписан шестилетний контракт с Anthropic на вычислительные мощности примерно на $35 млрд (WSJ, Bloomberg). Это крупнейшая сделка в истории компании и более чем в 20 раз превышает ожидаемую выручку за 2026 год. Для сравнения: все обязательства OpenAI перед CoreWeave за 2025 год — $22.4 млрд</t>
  </si>
  <si>
    <t xml:space="preserve">• Площадка Beacon Point в Техасе, проектная мощность 1 ГВт. Строит Hut 8 (бывший майнер криптовалюты), арендатор площадки — NVIDIA, Lambda размещает на ней купленные у NVIDIA чипы и продаёт вычисления Anthropic. NVIDIA при этом входит в капитал Lambda</t>
  </si>
  <si>
    <t xml:space="preserve">• IPO НЕ состоялось и заявка публично НЕ подана. Подтверждений конфиденциальной подачи S-1 нет ни в одном первоисточнике — распространённое утверждение восходит к новости о найме Morgan Stanley, J.P. Morgan и Citi (сентябрь 2025). Размещение рассматривается на 2027 год</t>
  </si>
  <si>
    <t xml:space="preserve">• Идущий pre-IPO раунд: до $3 млрд по оценке от $12 млрд (Bloomberg). Две задачи раунда — зафиксировать более высокую оценку перед размещением и профинансировать новые мощности</t>
  </si>
  <si>
    <t xml:space="preserve">• Series E более $1.5 млрд, 18.11.2025, лид TWG Global; post-money около $5.9 млрд — расчёт Forge, эмитентом не подтверждён. Предыдущий раунд: Series D $480 млн @ $2.5 млрд, 19.02.2025</t>
  </si>
  <si>
    <t xml:space="preserve">• Привлечено раздельно: акционерный капитал ~$2.3–2.4 млрд, долг ~$3.4 млрд. Заём на $926 млн под закупку GPU получил рейтинг Moody's Baa2 — инвестиционный уровень, до которого не дотягивал ни один частный неоклауд. Рейтинг допускает к займу пенсионные фонды и страховые компании, то есть расширяет круг кредиторов и удешевляет капитал</t>
  </si>
  <si>
    <t xml:space="preserve">• Выручка: $425 млн (2024) → run-rate $760 млн (конец 2025) → более $1.5 млрд ожидается в 2026. Валовая маржа 1П2025 около 50% (около 61% без продаж железа), убыток TTM около $175 млн</t>
  </si>
  <si>
    <t xml:space="preserve">• Контракт с Microsoft от 03.11.2025 назван многомиллиардным, сумма НЕ раскрыта. Мощность более 320 МВт, заявленная цель — 3 ГВт к 2030 году</t>
  </si>
  <si>
    <t xml:space="preserve">• РИСК 1 — концентрация: после сделки будущее компании определяется одним клиентом. Контракт построен на допущении, что спрос на ИИ будет расти достаточно быстро, чтобы выкупить зарезервированные мощности по зафиксированным ценам</t>
  </si>
  <si>
    <t xml:space="preserve">• РИСК 2 — связанность участников: Hut 8 строит, NVIDIA арендует площадку, поставляет чипы и одновременно является инвестором Lambda. Риски внутри этого круга не независимы</t>
  </si>
  <si>
    <t xml:space="preserve">• РИСК 3 — структура капитала: долг превышает акционерный капитал и обеспечен быстро дешевеющим железом (час H100 подешевел с $7–10 до менее $2–4). Срок амортизации GPU в отрасли не устоялся: Amazon сократил с 6 до 5 лет, CoreWeave держит 6</t>
  </si>
  <si>
    <t xml:space="preserve">• РИСК 4 — сжатие мультипликаторов сектора уже реализовалось: акции CoreWeave выросли втрое после IPO и потеряли 51% от пика к августу 2026 (минус 33% за три месяца)</t>
  </si>
  <si>
    <t xml:space="preserve">• Тезисы преимущества: законтрактованный на годы спрос от Anthropic; инвестиционный рейтинг Baa2 по долгу под залог GPU; статус NVIDIA Exemplar Cloud и четыре года подряд звание партнёра года NVIDIA; self-serve сегмент с маржой 61% против 50% по компании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</si>
</sst>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5" min="1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6" t="n">
        <f aca="false">OpenAI!B6</f>
        <v>852</v>
      </c>
      <c r="E5" s="6" t="n">
        <f aca="false">OpenAI!B7</f>
        <v>852</v>
      </c>
      <c r="F5" s="6" t="n">
        <f aca="false">OpenAI!B10</f>
        <v>920.16</v>
      </c>
      <c r="G5" s="6" t="n">
        <f aca="false">OpenAI!B11</f>
        <v>979.8</v>
      </c>
      <c r="H5" s="6" t="n">
        <f aca="false">OpenAI!B12</f>
        <v>949.98</v>
      </c>
      <c r="I5" s="7" t="s">
        <v>20</v>
      </c>
      <c r="J5" s="6" t="n">
        <f aca="false">OpenAI!B36</f>
        <v>1600</v>
      </c>
      <c r="K5" s="8" t="n">
        <f aca="false">OpenAI!B37</f>
        <v>1.68424598412598</v>
      </c>
      <c r="L5" s="9" t="n">
        <f aca="false">OpenAI!B38</f>
        <v>0.684245984125982</v>
      </c>
      <c r="M5" s="9" t="n">
        <f aca="false">OpenAI!B39</f>
        <v>0.415588460314333</v>
      </c>
      <c r="N5" s="8" t="n">
        <f aca="false">OpenAI!B40</f>
        <v>1.05265374007874</v>
      </c>
      <c r="O5" s="8" t="n">
        <f aca="false">OpenAI!C40</f>
        <v>3.24217351944251</v>
      </c>
    </row>
    <row r="6" customFormat="false" ht="23.85" hidden="false" customHeight="false" outlineLevel="0" collapsed="false">
      <c r="A6" s="4" t="s">
        <v>21</v>
      </c>
      <c r="B6" s="5" t="s">
        <v>22</v>
      </c>
      <c r="C6" s="5" t="s">
        <v>23</v>
      </c>
      <c r="D6" s="6" t="n">
        <f aca="false">'Figure AI'!B6</f>
        <v>39</v>
      </c>
      <c r="E6" s="6" t="n">
        <f aca="false">'Figure AI'!B7</f>
        <v>39</v>
      </c>
      <c r="F6" s="6" t="n">
        <f aca="false">'Figure AI'!B10</f>
        <v>30</v>
      </c>
      <c r="G6" s="6" t="n">
        <f aca="false">'Figure AI'!B11</f>
        <v>33</v>
      </c>
      <c r="H6" s="6" t="n">
        <f aca="false">'Figure AI'!B12</f>
        <v>31.5</v>
      </c>
      <c r="I6" s="7" t="s">
        <v>24</v>
      </c>
      <c r="J6" s="6" t="n">
        <f aca="false">'Figure AI'!B36</f>
        <v>72.45</v>
      </c>
      <c r="K6" s="8" t="n">
        <f aca="false">'Figure AI'!B37</f>
        <v>2.3</v>
      </c>
      <c r="L6" s="9" t="n">
        <f aca="false">'Figure AI'!B38</f>
        <v>1.3</v>
      </c>
      <c r="M6" s="9" t="n">
        <f aca="false">'Figure AI'!B39</f>
        <v>0.268676251376101</v>
      </c>
      <c r="N6" s="8" t="n">
        <f aca="false">'Figure AI'!B40</f>
        <v>1.23809523809524</v>
      </c>
      <c r="O6" s="8" t="n">
        <f aca="false">'Figure AI'!C40</f>
        <v>5.71428571428571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1X!B6</f>
        <v>10</v>
      </c>
      <c r="E7" s="6" t="n">
        <f aca="false">1X!B7</f>
        <v>10</v>
      </c>
      <c r="F7" s="6" t="n">
        <f aca="false">1X!B10</f>
        <v>10.5</v>
      </c>
      <c r="G7" s="6" t="n">
        <f aca="false">1X!B11</f>
        <v>12</v>
      </c>
      <c r="H7" s="6" t="n">
        <f aca="false">1X!B12</f>
        <v>11.25</v>
      </c>
      <c r="I7" s="7" t="s">
        <v>28</v>
      </c>
      <c r="J7" s="6" t="n">
        <f aca="false">1X!B36</f>
        <v>60.75</v>
      </c>
      <c r="K7" s="8" t="n">
        <f aca="false">1X!B37</f>
        <v>5.4</v>
      </c>
      <c r="L7" s="9" t="n">
        <f aca="false">1X!B38</f>
        <v>4.4</v>
      </c>
      <c r="M7" s="9" t="n">
        <f aca="false">1X!B39</f>
        <v>0.963168169823712</v>
      </c>
      <c r="N7" s="8" t="n">
        <f aca="false">1X!B40</f>
        <v>0.888888888888889</v>
      </c>
      <c r="O7" s="8" t="n">
        <f aca="false">1X!C40</f>
        <v>12</v>
      </c>
    </row>
    <row r="8" customFormat="false" ht="35.05" hidden="false" customHeight="false" outlineLevel="0" collapsed="false">
      <c r="A8" s="4" t="s">
        <v>29</v>
      </c>
      <c r="B8" s="5" t="s">
        <v>30</v>
      </c>
      <c r="C8" s="5" t="s">
        <v>31</v>
      </c>
      <c r="D8" s="6" t="n">
        <f aca="false">Polymarket!B6</f>
        <v>15</v>
      </c>
      <c r="E8" s="6" t="n">
        <f aca="false">Polymarket!B7</f>
        <v>15</v>
      </c>
      <c r="F8" s="6" t="n">
        <f aca="false">Polymarket!B10</f>
        <v>13.5</v>
      </c>
      <c r="G8" s="6" t="n">
        <f aca="false">Polymarket!B11</f>
        <v>15</v>
      </c>
      <c r="H8" s="6" t="n">
        <f aca="false">Polymarket!B12</f>
        <v>14.25</v>
      </c>
      <c r="I8" s="7" t="s">
        <v>32</v>
      </c>
      <c r="J8" s="6" t="n">
        <f aca="false">Polymarket!B36</f>
        <v>45</v>
      </c>
      <c r="K8" s="8" t="n">
        <f aca="false">Polymarket!B37</f>
        <v>3.15789473684211</v>
      </c>
      <c r="L8" s="9" t="n">
        <f aca="false">Polymarket!B38</f>
        <v>2.15789473684211</v>
      </c>
      <c r="M8" s="9" t="n">
        <f aca="false">Polymarket!B39</f>
        <v>0.584014160754065</v>
      </c>
      <c r="N8" s="8" t="n">
        <f aca="false">Polymarket!B40</f>
        <v>1.54385964912281</v>
      </c>
      <c r="O8" s="8" t="n">
        <f aca="false">Polymarket!C40</f>
        <v>7.57894736842105</v>
      </c>
    </row>
    <row r="9" customFormat="false" ht="35.05" hidden="false" customHeight="false" outlineLevel="0" collapsed="false">
      <c r="A9" s="4" t="s">
        <v>33</v>
      </c>
      <c r="B9" s="5" t="s">
        <v>34</v>
      </c>
      <c r="C9" s="5" t="s">
        <v>35</v>
      </c>
      <c r="D9" s="6" t="n">
        <f aca="false">'Positron AI'!B6</f>
        <v>1</v>
      </c>
      <c r="E9" s="6" t="n">
        <f aca="false">'Positron AI'!B7</f>
        <v>3.5</v>
      </c>
      <c r="F9" s="6" t="n">
        <f aca="false">'Positron AI'!B10</f>
        <v>4.5</v>
      </c>
      <c r="G9" s="6" t="n">
        <f aca="false">'Positron AI'!B11</f>
        <v>5</v>
      </c>
      <c r="H9" s="6" t="n">
        <f aca="false">'Positron AI'!B12</f>
        <v>4.75</v>
      </c>
      <c r="I9" s="7" t="s">
        <v>36</v>
      </c>
      <c r="J9" s="6" t="n">
        <f aca="false">'Positron AI'!B36</f>
        <v>24</v>
      </c>
      <c r="K9" s="8" t="n">
        <f aca="false">'Positron AI'!B37</f>
        <v>5.05263157894737</v>
      </c>
      <c r="L9" s="9" t="n">
        <f aca="false">'Positron AI'!B38</f>
        <v>4.05263157894737</v>
      </c>
      <c r="M9" s="9" t="n">
        <f aca="false">'Positron AI'!B39</f>
        <v>0.588565175565576</v>
      </c>
      <c r="N9" s="8" t="n">
        <f aca="false">'Positron AI'!B40</f>
        <v>1.05263157894737</v>
      </c>
      <c r="O9" s="8" t="n">
        <f aca="false">'Positron AI'!C40</f>
        <v>8.42105263157895</v>
      </c>
    </row>
    <row r="10" customFormat="false" ht="23.85" hidden="false" customHeight="false" outlineLevel="0" collapsed="false">
      <c r="A10" s="4" t="s">
        <v>37</v>
      </c>
      <c r="B10" s="5" t="s">
        <v>38</v>
      </c>
      <c r="C10" s="5" t="s">
        <v>39</v>
      </c>
      <c r="D10" s="6" t="n">
        <f aca="false">Databricks!B6</f>
        <v>190</v>
      </c>
      <c r="E10" s="6" t="n">
        <f aca="false">Databricks!B7</f>
        <v>190</v>
      </c>
      <c r="F10" s="6" t="n">
        <f aca="false">Databricks!B10</f>
        <v>195</v>
      </c>
      <c r="G10" s="6" t="n">
        <f aca="false">Databricks!B11</f>
        <v>210</v>
      </c>
      <c r="H10" s="6" t="n">
        <f aca="false">Databricks!B12</f>
        <v>202.5</v>
      </c>
      <c r="I10" s="7" t="s">
        <v>40</v>
      </c>
      <c r="J10" s="6" t="n">
        <f aca="false">Databricks!B36</f>
        <v>425</v>
      </c>
      <c r="K10" s="8" t="n">
        <f aca="false">Databricks!B37</f>
        <v>2.09876543209877</v>
      </c>
      <c r="L10" s="9" t="n">
        <f aca="false">Databricks!B38</f>
        <v>1.09876543209877</v>
      </c>
      <c r="M10" s="9" t="n">
        <f aca="false">Databricks!B39</f>
        <v>0.448711645600589</v>
      </c>
      <c r="N10" s="8" t="n">
        <f aca="false">Databricks!B40</f>
        <v>0.938271604938272</v>
      </c>
      <c r="O10" s="8" t="n">
        <f aca="false">Databricks!C40</f>
        <v>3.08641975308642</v>
      </c>
    </row>
    <row r="11" customFormat="false" ht="35.05" hidden="false" customHeight="false" outlineLevel="0" collapsed="false">
      <c r="A11" s="4" t="s">
        <v>41</v>
      </c>
      <c r="B11" s="5" t="s">
        <v>42</v>
      </c>
      <c r="C11" s="5" t="s">
        <v>43</v>
      </c>
      <c r="D11" s="6" t="n">
        <f aca="false">'VAST Data'!B6</f>
        <v>30</v>
      </c>
      <c r="E11" s="6" t="n">
        <f aca="false">'VAST Data'!B7</f>
        <v>30</v>
      </c>
      <c r="F11" s="6" t="n">
        <f aca="false">'VAST Data'!B10</f>
        <v>23</v>
      </c>
      <c r="G11" s="6" t="n">
        <f aca="false">'VAST Data'!B11</f>
        <v>28</v>
      </c>
      <c r="H11" s="6" t="n">
        <f aca="false">'VAST Data'!B12</f>
        <v>25.5</v>
      </c>
      <c r="I11" s="7" t="s">
        <v>44</v>
      </c>
      <c r="J11" s="6" t="n">
        <f aca="false">'VAST Data'!B36</f>
        <v>81.6</v>
      </c>
      <c r="K11" s="8" t="n">
        <f aca="false">'VAST Data'!B37</f>
        <v>3.2</v>
      </c>
      <c r="L11" s="9" t="n">
        <f aca="false">'VAST Data'!B38</f>
        <v>2.2</v>
      </c>
      <c r="M11" s="9" t="n">
        <f aca="false">'VAST Data'!B39</f>
        <v>0.592428682213989</v>
      </c>
      <c r="N11" s="8" t="n">
        <f aca="false">'VAST Data'!B40</f>
        <v>1.17647058823529</v>
      </c>
      <c r="O11" s="8" t="n">
        <f aca="false">'VAST Data'!C40</f>
        <v>5.49019607843137</v>
      </c>
    </row>
    <row r="12" customFormat="false" ht="35.05" hidden="false" customHeight="false" outlineLevel="0" collapsed="false">
      <c r="A12" s="4" t="s">
        <v>45</v>
      </c>
      <c r="B12" s="5" t="s">
        <v>46</v>
      </c>
      <c r="C12" s="5" t="s">
        <v>47</v>
      </c>
      <c r="D12" s="6" t="n">
        <f aca="false">ByteDance!B6</f>
        <v>425</v>
      </c>
      <c r="E12" s="6" t="n">
        <f aca="false">ByteDance!B7</f>
        <v>425</v>
      </c>
      <c r="F12" s="6" t="n">
        <f aca="false">ByteDance!B10</f>
        <v>590</v>
      </c>
      <c r="G12" s="6" t="n">
        <f aca="false">ByteDance!B11</f>
        <v>610</v>
      </c>
      <c r="H12" s="6" t="n">
        <f aca="false">ByteDance!B12</f>
        <v>600</v>
      </c>
      <c r="I12" s="7" t="s">
        <v>48</v>
      </c>
      <c r="J12" s="6" t="n">
        <f aca="false">ByteDance!B36</f>
        <v>1200</v>
      </c>
      <c r="K12" s="8" t="n">
        <f aca="false">ByteDance!B37</f>
        <v>2</v>
      </c>
      <c r="L12" s="9" t="n">
        <f aca="false">ByteDance!B38</f>
        <v>1</v>
      </c>
      <c r="M12" s="9" t="n">
        <f aca="false">ByteDance!B39</f>
        <v>0.414213562373095</v>
      </c>
      <c r="N12" s="8" t="n">
        <f aca="false">ByteDance!B40</f>
        <v>1</v>
      </c>
      <c r="O12" s="8" t="n">
        <f aca="false">ByteDance!C40</f>
        <v>2.66666666666667</v>
      </c>
    </row>
    <row r="13" customFormat="false" ht="23.85" hidden="false" customHeight="false" outlineLevel="0" collapsed="false">
      <c r="A13" s="4" t="s">
        <v>49</v>
      </c>
      <c r="B13" s="5" t="s">
        <v>50</v>
      </c>
      <c r="C13" s="5" t="s">
        <v>51</v>
      </c>
      <c r="D13" s="6" t="n">
        <f aca="false">Glean!B6</f>
        <v>7.2</v>
      </c>
      <c r="E13" s="6" t="n">
        <f aca="false">Glean!B7</f>
        <v>7.2</v>
      </c>
      <c r="F13" s="6" t="n">
        <f aca="false">Glean!B10</f>
        <v>6.5</v>
      </c>
      <c r="G13" s="6" t="n">
        <f aca="false">Glean!B11</f>
        <v>7</v>
      </c>
      <c r="H13" s="6" t="n">
        <f aca="false">Glean!B12</f>
        <v>6.75</v>
      </c>
      <c r="I13" s="7" t="s">
        <v>44</v>
      </c>
      <c r="J13" s="6" t="n">
        <f aca="false">Glean!B36</f>
        <v>25</v>
      </c>
      <c r="K13" s="8" t="n">
        <f aca="false">Glean!B37</f>
        <v>3.7037037037037</v>
      </c>
      <c r="L13" s="9" t="n">
        <f aca="false">Glean!B38</f>
        <v>2.7037037037037</v>
      </c>
      <c r="M13" s="9" t="n">
        <f aca="false">Glean!B39</f>
        <v>0.688318947040394</v>
      </c>
      <c r="N13" s="8" t="n">
        <f aca="false">Glean!B40</f>
        <v>1.06666666666667</v>
      </c>
      <c r="O13" s="8" t="n">
        <f aca="false">Glean!C40</f>
        <v>7.40740740740741</v>
      </c>
    </row>
    <row r="14" customFormat="false" ht="23.85" hidden="false" customHeight="false" outlineLevel="0" collapsed="false">
      <c r="A14" s="4" t="s">
        <v>52</v>
      </c>
      <c r="B14" s="5" t="s">
        <v>53</v>
      </c>
      <c r="C14" s="5" t="s">
        <v>54</v>
      </c>
      <c r="D14" s="6" t="n">
        <f aca="false">Lightmatter!B6</f>
        <v>4.4</v>
      </c>
      <c r="E14" s="6" t="n">
        <f aca="false">Lightmatter!B7</f>
        <v>4.4</v>
      </c>
      <c r="F14" s="6" t="n">
        <f aca="false">Lightmatter!B10</f>
        <v>4.5</v>
      </c>
      <c r="G14" s="6" t="n">
        <f aca="false">Lightmatter!B11</f>
        <v>5</v>
      </c>
      <c r="H14" s="6" t="n">
        <f aca="false">Lightmatter!B12</f>
        <v>4.75</v>
      </c>
      <c r="I14" s="7" t="s">
        <v>36</v>
      </c>
      <c r="J14" s="6" t="n">
        <f aca="false">Lightmatter!B36</f>
        <v>20.425</v>
      </c>
      <c r="K14" s="8" t="n">
        <f aca="false">Lightmatter!B37</f>
        <v>4.3</v>
      </c>
      <c r="L14" s="9" t="n">
        <f aca="false">Lightmatter!B38</f>
        <v>3.3</v>
      </c>
      <c r="M14" s="9" t="n">
        <f aca="false">Lightmatter!B39</f>
        <v>0.517018885214634</v>
      </c>
      <c r="N14" s="8" t="n">
        <f aca="false">Lightmatter!B40</f>
        <v>0.842105263157895</v>
      </c>
      <c r="O14" s="8" t="n">
        <f aca="false">Lightmatter!C40</f>
        <v>10.6105263157895</v>
      </c>
    </row>
    <row r="15" customFormat="false" ht="35.05" hidden="false" customHeight="false" outlineLevel="0" collapsed="false">
      <c r="A15" s="4" t="s">
        <v>55</v>
      </c>
      <c r="B15" s="5" t="s">
        <v>56</v>
      </c>
      <c r="C15" s="5" t="s">
        <v>57</v>
      </c>
      <c r="D15" s="6" t="n">
        <f aca="false">PsiQuantum!B6</f>
        <v>7</v>
      </c>
      <c r="E15" s="6" t="n">
        <f aca="false">PsiQuantum!B7</f>
        <v>7</v>
      </c>
      <c r="F15" s="6" t="n">
        <f aca="false">PsiQuantum!B10</f>
        <v>6</v>
      </c>
      <c r="G15" s="6" t="n">
        <f aca="false">PsiQuantum!B11</f>
        <v>6.5</v>
      </c>
      <c r="H15" s="6" t="n">
        <f aca="false">PsiQuantum!B12</f>
        <v>6.25</v>
      </c>
      <c r="I15" s="7" t="s">
        <v>58</v>
      </c>
      <c r="J15" s="6" t="n">
        <f aca="false">PsiQuantum!B36</f>
        <v>43.75</v>
      </c>
      <c r="K15" s="8" t="n">
        <f aca="false">PsiQuantum!B37</f>
        <v>7</v>
      </c>
      <c r="L15" s="9" t="n">
        <f aca="false">PsiQuantum!B38</f>
        <v>6</v>
      </c>
      <c r="M15" s="9" t="n">
        <f aca="false">PsiQuantum!B39</f>
        <v>0.540989091653837</v>
      </c>
      <c r="N15" s="8" t="n">
        <f aca="false">PsiQuantum!B40</f>
        <v>1.2</v>
      </c>
      <c r="O15" s="8" t="n">
        <f aca="false">PsiQuantum!C40</f>
        <v>16.8</v>
      </c>
    </row>
    <row r="16" customFormat="false" ht="23.85" hidden="false" customHeight="false" outlineLevel="0" collapsed="false">
      <c r="A16" s="4" t="s">
        <v>59</v>
      </c>
      <c r="B16" s="5" t="s">
        <v>60</v>
      </c>
      <c r="C16" s="5" t="s">
        <v>61</v>
      </c>
      <c r="D16" s="6" t="n">
        <f aca="false">Waymo!B6</f>
        <v>126</v>
      </c>
      <c r="E16" s="6" t="n">
        <f aca="false">Waymo!B7</f>
        <v>126</v>
      </c>
      <c r="F16" s="6" t="n">
        <f aca="false">Waymo!B10</f>
        <v>136</v>
      </c>
      <c r="G16" s="6" t="n">
        <f aca="false">Waymo!B11</f>
        <v>145</v>
      </c>
      <c r="H16" s="6" t="n">
        <f aca="false">Waymo!B12</f>
        <v>140.5</v>
      </c>
      <c r="I16" s="7" t="s">
        <v>62</v>
      </c>
      <c r="J16" s="6" t="n">
        <f aca="false">Waymo!B36</f>
        <v>310</v>
      </c>
      <c r="K16" s="8" t="n">
        <f aca="false">Waymo!B37</f>
        <v>2.20640569395018</v>
      </c>
      <c r="L16" s="9" t="n">
        <f aca="false">Waymo!B38</f>
        <v>1.20640569395018</v>
      </c>
      <c r="M16" s="9" t="n">
        <f aca="false">Waymo!B39</f>
        <v>0.253706333606649</v>
      </c>
      <c r="N16" s="8" t="n">
        <f aca="false">Waymo!B40</f>
        <v>0.889679715302491</v>
      </c>
      <c r="O16" s="8" t="n">
        <f aca="false">Waymo!C40</f>
        <v>4.98220640569395</v>
      </c>
    </row>
    <row r="17" customFormat="false" ht="23.85" hidden="false" customHeight="false" outlineLevel="0" collapsed="false">
      <c r="A17" s="4" t="s">
        <v>63</v>
      </c>
      <c r="B17" s="5" t="s">
        <v>64</v>
      </c>
      <c r="C17" s="5" t="s">
        <v>65</v>
      </c>
      <c r="D17" s="6" t="n">
        <f aca="false">Plata!B6</f>
        <v>5</v>
      </c>
      <c r="E17" s="6" t="n">
        <f aca="false">Plata!B7</f>
        <v>5</v>
      </c>
      <c r="F17" s="6" t="n">
        <f aca="false">Plata!B10</f>
        <v>5.4</v>
      </c>
      <c r="G17" s="6" t="n">
        <f aca="false">Plata!B11</f>
        <v>5.75</v>
      </c>
      <c r="H17" s="6" t="n">
        <f aca="false">Plata!B12</f>
        <v>5.575</v>
      </c>
      <c r="I17" s="7" t="s">
        <v>66</v>
      </c>
      <c r="J17" s="6" t="n">
        <f aca="false">Plata!B36</f>
        <v>12.85</v>
      </c>
      <c r="K17" s="8" t="n">
        <f aca="false">Plata!B37</f>
        <v>2.30493273542601</v>
      </c>
      <c r="L17" s="9" t="n">
        <f aca="false">Plata!B38</f>
        <v>1.30493273542601</v>
      </c>
      <c r="M17" s="9" t="n">
        <f aca="false">Plata!B39</f>
        <v>0.269453053461715</v>
      </c>
      <c r="N17" s="8" t="n">
        <f aca="false">Plata!B40</f>
        <v>0.717488789237668</v>
      </c>
      <c r="O17" s="8" t="n">
        <f aca="false">Plata!C40</f>
        <v>4.66367713004484</v>
      </c>
    </row>
    <row r="18" customFormat="false" ht="35.05" hidden="false" customHeight="false" outlineLevel="0" collapsed="false">
      <c r="A18" s="4" t="s">
        <v>67</v>
      </c>
      <c r="B18" s="5" t="s">
        <v>68</v>
      </c>
      <c r="C18" s="5" t="s">
        <v>69</v>
      </c>
      <c r="D18" s="6" t="n">
        <f aca="false">'Moonshot AI'!B6</f>
        <v>35</v>
      </c>
      <c r="E18" s="6" t="n">
        <f aca="false">'Moonshot AI'!B7</f>
        <v>35</v>
      </c>
      <c r="F18" s="6" t="n">
        <f aca="false">'Moonshot AI'!B10</f>
        <v>38</v>
      </c>
      <c r="G18" s="6" t="n">
        <f aca="false">'Moonshot AI'!B11</f>
        <v>42</v>
      </c>
      <c r="H18" s="6" t="n">
        <f aca="false">'Moonshot AI'!B12</f>
        <v>40</v>
      </c>
      <c r="I18" s="7" t="s">
        <v>70</v>
      </c>
      <c r="J18" s="6" t="n">
        <f aca="false">'Moonshot AI'!B36</f>
        <v>88</v>
      </c>
      <c r="K18" s="8" t="n">
        <f aca="false">'Moonshot AI'!B37</f>
        <v>2.2</v>
      </c>
      <c r="L18" s="9" t="n">
        <f aca="false">'Moonshot AI'!B38</f>
        <v>1.2</v>
      </c>
      <c r="M18" s="9" t="n">
        <f aca="false">'Moonshot AI'!B39</f>
        <v>0.691538111622984</v>
      </c>
      <c r="N18" s="8" t="n">
        <f aca="false">'Moonshot AI'!B40</f>
        <v>0.675</v>
      </c>
      <c r="O18" s="8" t="n">
        <f aca="false">'Moonshot AI'!C40</f>
        <v>5.25</v>
      </c>
    </row>
    <row r="19" customFormat="false" ht="35.05" hidden="false" customHeight="false" outlineLevel="0" collapsed="false">
      <c r="A19" s="4" t="s">
        <v>71</v>
      </c>
      <c r="B19" s="5" t="s">
        <v>72</v>
      </c>
      <c r="C19" s="5" t="s">
        <v>73</v>
      </c>
      <c r="D19" s="6" t="n">
        <f aca="false">Higgsfield!B6</f>
        <v>5.4</v>
      </c>
      <c r="E19" s="6" t="n">
        <f aca="false">Higgsfield!B7</f>
        <v>5.4</v>
      </c>
      <c r="F19" s="6" t="n">
        <f aca="false">Higgsfield!B10</f>
        <v>5.85</v>
      </c>
      <c r="G19" s="6" t="n">
        <f aca="false">Higgsfield!B11</f>
        <v>6.2</v>
      </c>
      <c r="H19" s="6" t="n">
        <f aca="false">Higgsfield!B12</f>
        <v>6.025</v>
      </c>
      <c r="I19" s="7" t="s">
        <v>74</v>
      </c>
      <c r="J19" s="6" t="n">
        <f aca="false">Higgsfield!B36</f>
        <v>15.65</v>
      </c>
      <c r="K19" s="8" t="n">
        <f aca="false">Higgsfield!B37</f>
        <v>2.59751037344398</v>
      </c>
      <c r="L19" s="9" t="n">
        <f aca="false">Higgsfield!B38</f>
        <v>1.59751037344398</v>
      </c>
      <c r="M19" s="9" t="n">
        <f aca="false">Higgsfield!B39</f>
        <v>0.464950385062174</v>
      </c>
      <c r="N19" s="8" t="n">
        <f aca="false">Higgsfield!B40</f>
        <v>0.497925311203319</v>
      </c>
      <c r="O19" s="8" t="n">
        <f aca="false">Higgsfield!C40</f>
        <v>7.46887966804979</v>
      </c>
    </row>
    <row r="20" customFormat="false" ht="23.85" hidden="false" customHeight="false" outlineLevel="0" collapsed="false">
      <c r="A20" s="4" t="s">
        <v>75</v>
      </c>
      <c r="B20" s="5" t="s">
        <v>76</v>
      </c>
      <c r="C20" s="5" t="s">
        <v>77</v>
      </c>
      <c r="D20" s="6" t="n">
        <f aca="false">Lambda!B6</f>
        <v>5.9</v>
      </c>
      <c r="E20" s="6" t="n">
        <f aca="false">Lambda!B7</f>
        <v>5.9</v>
      </c>
      <c r="F20" s="6" t="n">
        <f aca="false">Lambda!B10</f>
        <v>12</v>
      </c>
      <c r="G20" s="6" t="n">
        <f aca="false">Lambda!B11</f>
        <v>15</v>
      </c>
      <c r="H20" s="6" t="n">
        <f aca="false">Lambda!B12</f>
        <v>13.5</v>
      </c>
      <c r="I20" s="7" t="s">
        <v>78</v>
      </c>
      <c r="J20" s="6" t="n">
        <f aca="false">Lambda!B36</f>
        <v>37</v>
      </c>
      <c r="K20" s="8" t="n">
        <f aca="false">Lambda!B37</f>
        <v>2.74074074074074</v>
      </c>
      <c r="L20" s="9" t="n">
        <f aca="false">Lambda!B38</f>
        <v>1.74074074074074</v>
      </c>
      <c r="M20" s="9" t="n">
        <f aca="false">Lambda!B39</f>
        <v>0.496742815701976</v>
      </c>
      <c r="N20" s="8" t="n">
        <f aca="false">Lambda!B40</f>
        <v>0.666666666666667</v>
      </c>
      <c r="O20" s="8" t="n">
        <f aca="false">Lambda!C40</f>
        <v>6.66666666666667</v>
      </c>
    </row>
    <row r="22" customFormat="false" ht="15" hidden="false" customHeight="false" outlineLevel="0" collapsed="false">
      <c r="A22" s="2" t="s">
        <v>79</v>
      </c>
    </row>
    <row r="23" customFormat="false" ht="15" hidden="false" customHeight="false" outlineLevel="0" collapsed="false">
      <c r="A23" s="2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81</v>
      </c>
    </row>
    <row r="3" customFormat="false" ht="45.75" hidden="false" customHeight="true" outlineLevel="0" collapsed="false">
      <c r="A3" s="10" t="s">
        <v>5</v>
      </c>
      <c r="B3" s="11" t="s">
        <v>82</v>
      </c>
    </row>
    <row r="4" customFormat="false" ht="45.75" hidden="false" customHeight="true" outlineLevel="0" collapsed="false">
      <c r="A4" s="10" t="s">
        <v>83</v>
      </c>
      <c r="B4" s="11" t="s">
        <v>84</v>
      </c>
    </row>
    <row r="5" customFormat="false" ht="45.75" hidden="false" customHeight="true" outlineLevel="0" collapsed="false">
      <c r="A5" s="10" t="s">
        <v>85</v>
      </c>
      <c r="B5" s="11" t="s">
        <v>86</v>
      </c>
    </row>
    <row r="6" customFormat="false" ht="45.75" hidden="false" customHeight="true" outlineLevel="0" collapsed="false">
      <c r="A6" s="10" t="s">
        <v>87</v>
      </c>
      <c r="B6" s="11" t="s">
        <v>88</v>
      </c>
    </row>
    <row r="7" customFormat="false" ht="45.75" hidden="false" customHeight="true" outlineLevel="0" collapsed="false">
      <c r="A7" s="10" t="s">
        <v>89</v>
      </c>
      <c r="B7" s="11" t="s">
        <v>90</v>
      </c>
    </row>
    <row r="8" customFormat="false" ht="45.75" hidden="false" customHeight="true" outlineLevel="0" collapsed="false">
      <c r="A8" s="10" t="s">
        <v>91</v>
      </c>
      <c r="B8" s="11" t="s">
        <v>92</v>
      </c>
    </row>
    <row r="9" customFormat="false" ht="45.75" hidden="false" customHeight="true" outlineLevel="0" collapsed="false">
      <c r="A9" s="10" t="s">
        <v>93</v>
      </c>
      <c r="B9" s="11" t="s">
        <v>94</v>
      </c>
    </row>
    <row r="10" customFormat="false" ht="45.75" hidden="false" customHeight="true" outlineLevel="0" collapsed="false">
      <c r="A10" s="10" t="s">
        <v>95</v>
      </c>
      <c r="B10" s="11" t="s">
        <v>96</v>
      </c>
    </row>
    <row r="11" customFormat="false" ht="45.75" hidden="false" customHeight="true" outlineLevel="0" collapsed="false">
      <c r="A11" s="10" t="s">
        <v>97</v>
      </c>
      <c r="B11" s="1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2" t="s">
        <v>18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19</v>
      </c>
    </row>
    <row r="6" customFormat="false" ht="15" hidden="false" customHeight="false" outlineLevel="0" collapsed="false">
      <c r="A6" s="14" t="s">
        <v>101</v>
      </c>
      <c r="B6" s="15" t="n">
        <v>852</v>
      </c>
    </row>
    <row r="7" customFormat="false" ht="15" hidden="false" customHeight="false" outlineLevel="0" collapsed="false">
      <c r="A7" s="14" t="s">
        <v>102</v>
      </c>
      <c r="B7" s="15" t="n">
        <v>852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7" t="n">
        <f aca="false">B7*(1+B8)</f>
        <v>920.16</v>
      </c>
    </row>
    <row r="11" customFormat="false" ht="15" hidden="false" customHeight="false" outlineLevel="0" collapsed="false">
      <c r="A11" s="14" t="s">
        <v>106</v>
      </c>
      <c r="B11" s="17" t="n">
        <f aca="false">B7*(1+B9)</f>
        <v>979.8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949.98</v>
      </c>
    </row>
    <row r="13" customFormat="false" ht="42" hidden="false" customHeight="true" outlineLevel="0" collapsed="false">
      <c r="A13" s="14" t="s">
        <v>108</v>
      </c>
      <c r="B13" s="18" t="s">
        <v>109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113</v>
      </c>
      <c r="B17" s="21" t="n">
        <v>10.5</v>
      </c>
      <c r="C17" s="22" t="s">
        <v>114</v>
      </c>
    </row>
    <row r="18" customFormat="false" ht="15" hidden="false" customHeight="false" outlineLevel="0" collapsed="false">
      <c r="A18" s="20" t="s">
        <v>115</v>
      </c>
      <c r="B18" s="21" t="n">
        <v>24.7</v>
      </c>
      <c r="C18" s="22" t="s">
        <v>116</v>
      </c>
    </row>
    <row r="19" customFormat="false" ht="15" hidden="false" customHeight="false" outlineLevel="0" collapsed="false">
      <c r="A19" s="20" t="s">
        <v>117</v>
      </c>
      <c r="B19" s="21" t="n">
        <v>9.4</v>
      </c>
      <c r="C19" s="22" t="s">
        <v>116</v>
      </c>
    </row>
    <row r="20" customFormat="false" ht="15" hidden="false" customHeight="false" outlineLevel="0" collapsed="false">
      <c r="A20" s="20" t="s">
        <v>118</v>
      </c>
      <c r="B20" s="21" t="n">
        <v>7</v>
      </c>
      <c r="C20" s="22" t="s">
        <v>116</v>
      </c>
    </row>
    <row r="21" customFormat="false" ht="15" hidden="false" customHeight="false" outlineLevel="0" collapsed="false">
      <c r="A21" s="20" t="s">
        <v>119</v>
      </c>
      <c r="B21" s="21" t="n">
        <v>61</v>
      </c>
      <c r="C21" s="22" t="s">
        <v>120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132</v>
      </c>
      <c r="C25" s="24" t="n">
        <v>1.5</v>
      </c>
      <c r="D25" s="25" t="n">
        <v>62</v>
      </c>
      <c r="E25" s="26" t="n">
        <v>18</v>
      </c>
      <c r="F25" s="27" t="n">
        <f aca="false">D25*E25</f>
        <v>1116</v>
      </c>
      <c r="G25" s="28" t="n">
        <f aca="false">F25/B12</f>
        <v>1.17476157392787</v>
      </c>
      <c r="H25" s="29" t="n">
        <f aca="false">G25-1</f>
        <v>0.174761573927872</v>
      </c>
      <c r="I25" s="29" t="n">
        <f aca="false">G25^(1/C25)-1</f>
        <v>0.113353695435497</v>
      </c>
    </row>
    <row r="26" customFormat="false" ht="15" hidden="false" customHeight="false" outlineLevel="0" collapsed="false">
      <c r="A26" s="20" t="s">
        <v>133</v>
      </c>
      <c r="B26" s="23" t="s">
        <v>132</v>
      </c>
      <c r="C26" s="24" t="n">
        <v>1.5</v>
      </c>
      <c r="D26" s="25" t="n">
        <v>110</v>
      </c>
      <c r="E26" s="26" t="n">
        <v>15</v>
      </c>
      <c r="F26" s="27" t="n">
        <f aca="false">D26*E26</f>
        <v>1650</v>
      </c>
      <c r="G26" s="28" t="n">
        <f aca="false">F26/B12</f>
        <v>1.73687867112992</v>
      </c>
      <c r="H26" s="29" t="n">
        <f aca="false">G26-1</f>
        <v>0.736878671129918</v>
      </c>
      <c r="I26" s="29" t="n">
        <f aca="false">G26^(1/C26)-1</f>
        <v>0.444928380645306</v>
      </c>
    </row>
    <row r="27" customFormat="false" ht="15" hidden="false" customHeight="false" outlineLevel="0" collapsed="false">
      <c r="A27" s="20" t="s">
        <v>134</v>
      </c>
      <c r="B27" s="23" t="s">
        <v>135</v>
      </c>
      <c r="C27" s="24" t="n">
        <v>2</v>
      </c>
      <c r="D27" s="25" t="n">
        <v>110</v>
      </c>
      <c r="E27" s="26" t="n">
        <v>28</v>
      </c>
      <c r="F27" s="27" t="n">
        <f aca="false">D27*E27</f>
        <v>3080</v>
      </c>
      <c r="G27" s="28" t="n">
        <f aca="false">F27/B12</f>
        <v>3.24217351944251</v>
      </c>
      <c r="H27" s="29" t="n">
        <f aca="false">G27-1</f>
        <v>2.24217351944251</v>
      </c>
      <c r="I27" s="29" t="n">
        <f aca="false">G27^(1/C27)-1</f>
        <v>0.80060365417893</v>
      </c>
    </row>
    <row r="28" customFormat="false" ht="30" hidden="false" customHeight="true" outlineLevel="0" collapsed="false">
      <c r="A28" s="18" t="s">
        <v>136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132</v>
      </c>
      <c r="C32" s="24" t="n">
        <v>1.5</v>
      </c>
      <c r="D32" s="5" t="s">
        <v>139</v>
      </c>
      <c r="E32" s="25" t="n">
        <v>1000</v>
      </c>
      <c r="F32" s="28" t="n">
        <f aca="false">E32/B12</f>
        <v>1.05265374007874</v>
      </c>
      <c r="G32" s="29" t="n">
        <f aca="false">F32-1</f>
        <v>0.0526537400787386</v>
      </c>
      <c r="H32" s="29" t="n">
        <f aca="false">F32^(1/C32)-1</f>
        <v>0.0348014419921376</v>
      </c>
    </row>
    <row r="33" customFormat="false" ht="15" hidden="false" customHeight="false" outlineLevel="0" collapsed="false">
      <c r="A33" s="20" t="s">
        <v>133</v>
      </c>
      <c r="B33" s="23" t="s">
        <v>132</v>
      </c>
      <c r="C33" s="24" t="n">
        <v>1.5</v>
      </c>
      <c r="D33" s="5" t="s">
        <v>140</v>
      </c>
      <c r="E33" s="25" t="n">
        <v>1550</v>
      </c>
      <c r="F33" s="28" t="n">
        <f aca="false">E33/B12</f>
        <v>1.63161329712204</v>
      </c>
      <c r="G33" s="29" t="n">
        <f aca="false">F33-1</f>
        <v>0.631613297122045</v>
      </c>
      <c r="H33" s="29" t="n">
        <f aca="false">F33^(1/C33)-1</f>
        <v>0.385941259811554</v>
      </c>
    </row>
    <row r="34" customFormat="false" ht="15" hidden="false" customHeight="false" outlineLevel="0" collapsed="false">
      <c r="A34" s="20" t="s">
        <v>134</v>
      </c>
      <c r="B34" s="23" t="s">
        <v>135</v>
      </c>
      <c r="C34" s="24" t="n">
        <v>2</v>
      </c>
      <c r="D34" s="5" t="s">
        <v>141</v>
      </c>
      <c r="E34" s="25" t="n">
        <v>2200</v>
      </c>
      <c r="F34" s="28" t="n">
        <f aca="false">E34/B12</f>
        <v>2.31583822817322</v>
      </c>
      <c r="G34" s="29" t="n">
        <f aca="false">F34-1</f>
        <v>1.31583822817322</v>
      </c>
      <c r="H34" s="29" t="n">
        <f aca="false">F34^(1/C34)-1</f>
        <v>0.521787839409037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1600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1.68424598412598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0.684245984125982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0.415588460314333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1.05265374007874</v>
      </c>
      <c r="C40" s="30" t="n">
        <f aca="false">MAX(G27,F34)</f>
        <v>3.24217351944251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1.63298632373954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148</v>
      </c>
    </row>
    <row r="45" customFormat="false" ht="15" hidden="false" customHeight="false" outlineLevel="0" collapsed="false">
      <c r="A45" s="2" t="s">
        <v>149</v>
      </c>
    </row>
    <row r="46" customFormat="false" ht="15" hidden="false" customHeight="false" outlineLevel="0" collapsed="false">
      <c r="A46" s="2" t="s">
        <v>150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2" t="s">
        <v>22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23</v>
      </c>
    </row>
    <row r="6" customFormat="false" ht="15" hidden="false" customHeight="false" outlineLevel="0" collapsed="false">
      <c r="A6" s="14" t="s">
        <v>101</v>
      </c>
      <c r="B6" s="15" t="n">
        <v>39</v>
      </c>
    </row>
    <row r="7" customFormat="false" ht="15" hidden="false" customHeight="false" outlineLevel="0" collapsed="false">
      <c r="A7" s="14" t="s">
        <v>102</v>
      </c>
      <c r="B7" s="15" t="n">
        <v>39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30</v>
      </c>
    </row>
    <row r="11" customFormat="false" ht="15" hidden="false" customHeight="false" outlineLevel="0" collapsed="false">
      <c r="A11" s="14" t="s">
        <v>106</v>
      </c>
      <c r="B11" s="15" t="n">
        <v>33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31.5</v>
      </c>
    </row>
    <row r="13" customFormat="false" ht="42" hidden="false" customHeight="true" outlineLevel="0" collapsed="false">
      <c r="A13" s="14" t="s">
        <v>108</v>
      </c>
      <c r="B13" s="18" t="s">
        <v>152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153</v>
      </c>
      <c r="B17" s="21" t="n">
        <v>15</v>
      </c>
      <c r="C17" s="22" t="s">
        <v>154</v>
      </c>
    </row>
    <row r="18" customFormat="false" ht="15" hidden="false" customHeight="false" outlineLevel="0" collapsed="false">
      <c r="A18" s="20" t="s">
        <v>155</v>
      </c>
      <c r="B18" s="21" t="n">
        <v>15.7</v>
      </c>
      <c r="C18" s="22" t="s">
        <v>156</v>
      </c>
    </row>
    <row r="19" customFormat="false" ht="15" hidden="false" customHeight="false" outlineLevel="0" collapsed="false">
      <c r="A19" s="20" t="s">
        <v>157</v>
      </c>
      <c r="B19" s="21" t="n">
        <v>7.3</v>
      </c>
      <c r="C19" s="22" t="s">
        <v>158</v>
      </c>
    </row>
    <row r="20" customFormat="false" ht="15" hidden="false" customHeight="false" outlineLevel="0" collapsed="false">
      <c r="A20" s="20" t="s">
        <v>159</v>
      </c>
      <c r="B20" s="21" t="n">
        <v>6.3</v>
      </c>
      <c r="C20" s="22" t="s">
        <v>160</v>
      </c>
    </row>
    <row r="21" customFormat="false" ht="15" hidden="false" customHeight="false" outlineLevel="0" collapsed="false">
      <c r="A21" s="20" t="s">
        <v>161</v>
      </c>
      <c r="B21" s="21" t="n">
        <v>2.6</v>
      </c>
      <c r="C21" s="22" t="s">
        <v>162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3.5</v>
      </c>
      <c r="E25" s="26" t="n">
        <v>15</v>
      </c>
      <c r="F25" s="27" t="n">
        <f aca="false">D25*E25</f>
        <v>52.5</v>
      </c>
      <c r="G25" s="28" t="n">
        <f aca="false">F25/B12</f>
        <v>1.66666666666667</v>
      </c>
      <c r="H25" s="29" t="n">
        <f aca="false">G25-1</f>
        <v>0.666666666666667</v>
      </c>
      <c r="I25" s="29" t="n">
        <f aca="false">G25^(1/C25)-1</f>
        <v>0.185631101496688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4.8</v>
      </c>
      <c r="E26" s="26" t="n">
        <v>15</v>
      </c>
      <c r="F26" s="27" t="n">
        <f aca="false">D26*E26</f>
        <v>72</v>
      </c>
      <c r="G26" s="28" t="n">
        <f aca="false">F26/B12</f>
        <v>2.28571428571429</v>
      </c>
      <c r="H26" s="29" t="n">
        <f aca="false">G26-1</f>
        <v>1.28571428571429</v>
      </c>
      <c r="I26" s="29" t="n">
        <f aca="false">G26^(1/C26)-1</f>
        <v>0.266419817374981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10</v>
      </c>
      <c r="E27" s="26" t="n">
        <v>18</v>
      </c>
      <c r="F27" s="27" t="n">
        <f aca="false">D27*E27</f>
        <v>180</v>
      </c>
      <c r="G27" s="28" t="n">
        <f aca="false">F27/B12</f>
        <v>5.71428571428571</v>
      </c>
      <c r="H27" s="29" t="n">
        <f aca="false">G27-1</f>
        <v>4.71428571428571</v>
      </c>
      <c r="I27" s="29" t="n">
        <f aca="false">G27^(1/C27)-1</f>
        <v>0.645412693099038</v>
      </c>
    </row>
    <row r="28" customFormat="false" ht="30" hidden="false" customHeight="true" outlineLevel="0" collapsed="false">
      <c r="A28" s="18" t="s">
        <v>165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166</v>
      </c>
      <c r="E32" s="25" t="n">
        <v>39</v>
      </c>
      <c r="F32" s="28" t="n">
        <f aca="false">E32/B12</f>
        <v>1.23809523809524</v>
      </c>
      <c r="G32" s="29" t="n">
        <f aca="false">F32-1</f>
        <v>0.238095238095238</v>
      </c>
      <c r="H32" s="29" t="n">
        <f aca="false">F32^(1/C32)-1</f>
        <v>0.0737866932948026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167</v>
      </c>
      <c r="E33" s="25" t="n">
        <v>72.9</v>
      </c>
      <c r="F33" s="28" t="n">
        <f aca="false">E33/B12</f>
        <v>2.31428571428571</v>
      </c>
      <c r="G33" s="29" t="n">
        <f aca="false">F33-1</f>
        <v>1.31428571428571</v>
      </c>
      <c r="H33" s="29" t="n">
        <f aca="false">F33^(1/C33)-1</f>
        <v>0.270922696665602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168</v>
      </c>
      <c r="E34" s="25" t="n">
        <v>150</v>
      </c>
      <c r="F34" s="28" t="n">
        <f aca="false">E34/B12</f>
        <v>4.76190476190476</v>
      </c>
      <c r="G34" s="29" t="n">
        <f aca="false">F34-1</f>
        <v>3.76190476190476</v>
      </c>
      <c r="H34" s="29" t="n">
        <f aca="false">F34^(1/C34)-1</f>
        <v>0.561894264347479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72.45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1.3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0.268676251376101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1.23809523809524</v>
      </c>
      <c r="C40" s="30" t="n">
        <f aca="false">MAX(G27,F34)</f>
        <v>5.71428571428571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2.19545454545455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169</v>
      </c>
    </row>
    <row r="45" customFormat="false" ht="15" hidden="false" customHeight="false" outlineLevel="0" collapsed="false">
      <c r="A45" s="2" t="s">
        <v>170</v>
      </c>
    </row>
    <row r="46" customFormat="false" ht="15" hidden="false" customHeight="false" outlineLevel="0" collapsed="false">
      <c r="A46" s="2" t="s">
        <v>171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27</v>
      </c>
    </row>
    <row r="6" customFormat="false" ht="15" hidden="false" customHeight="false" outlineLevel="0" collapsed="false">
      <c r="A6" s="14" t="s">
        <v>101</v>
      </c>
      <c r="B6" s="15" t="n">
        <v>10</v>
      </c>
    </row>
    <row r="7" customFormat="false" ht="15" hidden="false" customHeight="false" outlineLevel="0" collapsed="false">
      <c r="A7" s="14" t="s">
        <v>102</v>
      </c>
      <c r="B7" s="15" t="n">
        <v>10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10.5</v>
      </c>
    </row>
    <row r="11" customFormat="false" ht="15" hidden="false" customHeight="false" outlineLevel="0" collapsed="false">
      <c r="A11" s="14" t="s">
        <v>106</v>
      </c>
      <c r="B11" s="15" t="n">
        <v>12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11.25</v>
      </c>
    </row>
    <row r="13" customFormat="false" ht="42" hidden="false" customHeight="true" outlineLevel="0" collapsed="false">
      <c r="A13" s="14" t="s">
        <v>108</v>
      </c>
      <c r="B13" s="18" t="s">
        <v>172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153</v>
      </c>
      <c r="B17" s="21" t="n">
        <v>15</v>
      </c>
      <c r="C17" s="22" t="s">
        <v>154</v>
      </c>
    </row>
    <row r="18" customFormat="false" ht="15" hidden="false" customHeight="false" outlineLevel="0" collapsed="false">
      <c r="A18" s="20" t="s">
        <v>155</v>
      </c>
      <c r="B18" s="21" t="n">
        <v>15.7</v>
      </c>
      <c r="C18" s="22" t="s">
        <v>156</v>
      </c>
    </row>
    <row r="19" customFormat="false" ht="15" hidden="false" customHeight="false" outlineLevel="0" collapsed="false">
      <c r="A19" s="20" t="s">
        <v>173</v>
      </c>
      <c r="B19" s="21" t="n">
        <v>1</v>
      </c>
      <c r="C19" s="22" t="s">
        <v>174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2.5</v>
      </c>
      <c r="D25" s="25" t="n">
        <v>2</v>
      </c>
      <c r="E25" s="26" t="n">
        <v>12</v>
      </c>
      <c r="F25" s="27" t="n">
        <f aca="false">D25*E25</f>
        <v>24</v>
      </c>
      <c r="G25" s="28" t="n">
        <f aca="false">F25/B12</f>
        <v>2.13333333333333</v>
      </c>
      <c r="H25" s="29" t="n">
        <f aca="false">G25-1</f>
        <v>1.13333333333333</v>
      </c>
      <c r="I25" s="29" t="n">
        <f aca="false">G25^(1/C25)-1</f>
        <v>0.354015037863309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5</v>
      </c>
      <c r="E26" s="26" t="n">
        <v>12</v>
      </c>
      <c r="F26" s="27" t="n">
        <f aca="false">D26*E26</f>
        <v>60</v>
      </c>
      <c r="G26" s="28" t="n">
        <f aca="false">F26/B12</f>
        <v>5.33333333333333</v>
      </c>
      <c r="H26" s="29" t="n">
        <f aca="false">G26-1</f>
        <v>4.33333333333333</v>
      </c>
      <c r="I26" s="29" t="n">
        <f aca="false">G26^(1/C26)-1</f>
        <v>0.953437367722348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9</v>
      </c>
      <c r="E27" s="26" t="n">
        <v>15</v>
      </c>
      <c r="F27" s="27" t="n">
        <f aca="false">D27*E27</f>
        <v>135</v>
      </c>
      <c r="G27" s="28" t="n">
        <f aca="false">F27/B12</f>
        <v>12</v>
      </c>
      <c r="H27" s="29" t="n">
        <f aca="false">G27-1</f>
        <v>11</v>
      </c>
      <c r="I27" s="29" t="n">
        <f aca="false">G27^(1/C27)-1</f>
        <v>1.03393700979443</v>
      </c>
    </row>
    <row r="28" customFormat="false" ht="30" hidden="false" customHeight="true" outlineLevel="0" collapsed="false">
      <c r="A28" s="18" t="s">
        <v>175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2.5</v>
      </c>
      <c r="D32" s="5" t="s">
        <v>176</v>
      </c>
      <c r="E32" s="25" t="n">
        <v>10</v>
      </c>
      <c r="F32" s="28" t="n">
        <f aca="false">E32/B12</f>
        <v>0.888888888888889</v>
      </c>
      <c r="G32" s="29" t="n">
        <f aca="false">F32-1</f>
        <v>-0.111111111111111</v>
      </c>
      <c r="H32" s="29" t="n">
        <f aca="false">F32^(1/C32)-1</f>
        <v>-0.0460206125964964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177</v>
      </c>
      <c r="E33" s="25" t="n">
        <v>61.5</v>
      </c>
      <c r="F33" s="28" t="n">
        <f aca="false">E33/B12</f>
        <v>5.46666666666667</v>
      </c>
      <c r="G33" s="29" t="n">
        <f aca="false">F33-1</f>
        <v>4.46666666666667</v>
      </c>
      <c r="H33" s="29" t="n">
        <f aca="false">F33^(1/C33)-1</f>
        <v>0.972827155851646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178</v>
      </c>
      <c r="E34" s="25" t="n">
        <v>120</v>
      </c>
      <c r="F34" s="28" t="n">
        <f aca="false">E34/B12</f>
        <v>10.6666666666667</v>
      </c>
      <c r="G34" s="29" t="n">
        <f aca="false">F34-1</f>
        <v>9.66666666666667</v>
      </c>
      <c r="H34" s="29" t="n">
        <f aca="false">F34^(1/C34)-1</f>
        <v>0.966629242074846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60.75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4.4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0.963168169823712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0.888888888888889</v>
      </c>
      <c r="C40" s="30" t="n">
        <f aca="false">MAX(G27,F34)</f>
        <v>12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5.0625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179</v>
      </c>
    </row>
    <row r="45" customFormat="false" ht="15" hidden="false" customHeight="false" outlineLevel="0" collapsed="false">
      <c r="A45" s="2" t="s">
        <v>180</v>
      </c>
    </row>
    <row r="46" customFormat="false" ht="15" hidden="false" customHeight="false" outlineLevel="0" collapsed="false">
      <c r="A46" s="2" t="s">
        <v>181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31</v>
      </c>
    </row>
    <row r="6" customFormat="false" ht="15" hidden="false" customHeight="false" outlineLevel="0" collapsed="false">
      <c r="A6" s="14" t="s">
        <v>101</v>
      </c>
      <c r="B6" s="15" t="n">
        <v>15</v>
      </c>
    </row>
    <row r="7" customFormat="false" ht="15" hidden="false" customHeight="false" outlineLevel="0" collapsed="false">
      <c r="A7" s="14" t="s">
        <v>102</v>
      </c>
      <c r="B7" s="15" t="n">
        <v>15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13.5</v>
      </c>
    </row>
    <row r="11" customFormat="false" ht="15" hidden="false" customHeight="false" outlineLevel="0" collapsed="false">
      <c r="A11" s="14" t="s">
        <v>106</v>
      </c>
      <c r="B11" s="15" t="n">
        <v>15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14.25</v>
      </c>
    </row>
    <row r="13" customFormat="false" ht="42" hidden="false" customHeight="true" outlineLevel="0" collapsed="false">
      <c r="A13" s="14" t="s">
        <v>108</v>
      </c>
      <c r="B13" s="18" t="s">
        <v>182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183</v>
      </c>
      <c r="B17" s="21" t="n">
        <v>20.7</v>
      </c>
      <c r="C17" s="22" t="s">
        <v>184</v>
      </c>
    </row>
    <row r="18" customFormat="false" ht="15" hidden="false" customHeight="false" outlineLevel="0" collapsed="false">
      <c r="A18" s="20" t="s">
        <v>185</v>
      </c>
      <c r="B18" s="21" t="n">
        <v>17</v>
      </c>
      <c r="C18" s="22" t="s">
        <v>186</v>
      </c>
    </row>
    <row r="19" customFormat="false" ht="15" hidden="false" customHeight="false" outlineLevel="0" collapsed="false">
      <c r="A19" s="20" t="s">
        <v>187</v>
      </c>
      <c r="B19" s="21" t="n">
        <v>9</v>
      </c>
      <c r="C19" s="22" t="s">
        <v>188</v>
      </c>
    </row>
    <row r="20" customFormat="false" ht="15" hidden="false" customHeight="false" outlineLevel="0" collapsed="false">
      <c r="A20" s="20" t="s">
        <v>189</v>
      </c>
      <c r="B20" s="21" t="n">
        <v>5.9</v>
      </c>
      <c r="C20" s="22" t="s">
        <v>190</v>
      </c>
    </row>
    <row r="21" customFormat="false" ht="15" hidden="false" customHeight="false" outlineLevel="0" collapsed="false">
      <c r="A21" s="20" t="s">
        <v>191</v>
      </c>
      <c r="B21" s="21" t="n">
        <v>2.1</v>
      </c>
      <c r="C21" s="22" t="s">
        <v>192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2.5</v>
      </c>
      <c r="E25" s="26" t="n">
        <v>15</v>
      </c>
      <c r="F25" s="27" t="n">
        <f aca="false">D25*E25</f>
        <v>37.5</v>
      </c>
      <c r="G25" s="28" t="n">
        <f aca="false">F25/B12</f>
        <v>2.63157894736842</v>
      </c>
      <c r="H25" s="29" t="n">
        <f aca="false">G25-1</f>
        <v>1.63157894736842</v>
      </c>
      <c r="I25" s="29" t="n">
        <f aca="false">G25^(1/C25)-1</f>
        <v>0.622214211307625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3</v>
      </c>
      <c r="E26" s="26" t="n">
        <v>15</v>
      </c>
      <c r="F26" s="27" t="n">
        <f aca="false">D26*E26</f>
        <v>45</v>
      </c>
      <c r="G26" s="28" t="n">
        <f aca="false">F26/B12</f>
        <v>3.15789473684211</v>
      </c>
      <c r="H26" s="29" t="n">
        <f aca="false">G26-1</f>
        <v>2.15789473684211</v>
      </c>
      <c r="I26" s="29" t="n">
        <f aca="false">G26^(1/C26)-1</f>
        <v>0.584014160754065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6</v>
      </c>
      <c r="E27" s="26" t="n">
        <v>18</v>
      </c>
      <c r="F27" s="27" t="n">
        <f aca="false">D27*E27</f>
        <v>108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0.783679520883073</v>
      </c>
    </row>
    <row r="28" customFormat="false" ht="30" hidden="false" customHeight="true" outlineLevel="0" collapsed="false">
      <c r="A28" s="18" t="s">
        <v>193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194</v>
      </c>
      <c r="E32" s="25" t="n">
        <v>22</v>
      </c>
      <c r="F32" s="28" t="n">
        <f aca="false">E32/B12</f>
        <v>1.54385964912281</v>
      </c>
      <c r="G32" s="29" t="n">
        <f aca="false">F32-1</f>
        <v>0.543859649122807</v>
      </c>
      <c r="H32" s="29" t="n">
        <f aca="false">F32^(1/C32)-1</f>
        <v>0.242521488394791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195</v>
      </c>
      <c r="E33" s="25" t="n">
        <v>45</v>
      </c>
      <c r="F33" s="28" t="n">
        <f aca="false">E33/B12</f>
        <v>3.15789473684211</v>
      </c>
      <c r="G33" s="29" t="n">
        <f aca="false">F33-1</f>
        <v>2.15789473684211</v>
      </c>
      <c r="H33" s="29" t="n">
        <f aca="false">F33^(1/C33)-1</f>
        <v>0.584014160754065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196</v>
      </c>
      <c r="E34" s="25" t="n">
        <v>100</v>
      </c>
      <c r="F34" s="28" t="n">
        <f aca="false">E34/B12</f>
        <v>7.01754385964912</v>
      </c>
      <c r="G34" s="29" t="n">
        <f aca="false">F34-1</f>
        <v>6.01754385964912</v>
      </c>
      <c r="H34" s="29" t="n">
        <f aca="false">F34^(1/C34)-1</f>
        <v>0.744886496169584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3.15789473684211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2.15789473684211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0.584014160754065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1.54385964912281</v>
      </c>
      <c r="C40" s="30" t="n">
        <f aca="false">MAX(G27,F34)</f>
        <v>7.57894736842105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3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197</v>
      </c>
    </row>
    <row r="45" customFormat="false" ht="15" hidden="false" customHeight="false" outlineLevel="0" collapsed="false">
      <c r="A45" s="2" t="s">
        <v>198</v>
      </c>
    </row>
    <row r="46" customFormat="false" ht="15" hidden="false" customHeight="false" outlineLevel="0" collapsed="false">
      <c r="A46" s="2" t="s">
        <v>199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35</v>
      </c>
    </row>
    <row r="6" customFormat="false" ht="15" hidden="false" customHeight="false" outlineLevel="0" collapsed="false">
      <c r="A6" s="14" t="s">
        <v>101</v>
      </c>
      <c r="B6" s="15" t="n">
        <v>1</v>
      </c>
    </row>
    <row r="7" customFormat="false" ht="15" hidden="false" customHeight="false" outlineLevel="0" collapsed="false">
      <c r="A7" s="14" t="s">
        <v>200</v>
      </c>
      <c r="B7" s="15" t="n">
        <v>3.5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4.5</v>
      </c>
    </row>
    <row r="11" customFormat="false" ht="15" hidden="false" customHeight="false" outlineLevel="0" collapsed="false">
      <c r="A11" s="14" t="s">
        <v>106</v>
      </c>
      <c r="B11" s="15" t="n">
        <v>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108</v>
      </c>
      <c r="B13" s="18" t="s">
        <v>201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115</v>
      </c>
      <c r="B17" s="21" t="n">
        <v>20.6</v>
      </c>
      <c r="C17" s="22" t="s">
        <v>184</v>
      </c>
    </row>
    <row r="18" customFormat="false" ht="15" hidden="false" customHeight="false" outlineLevel="0" collapsed="false">
      <c r="A18" s="20" t="s">
        <v>202</v>
      </c>
      <c r="B18" s="21" t="n">
        <v>24.5</v>
      </c>
      <c r="C18" s="22" t="s">
        <v>184</v>
      </c>
    </row>
    <row r="19" customFormat="false" ht="15" hidden="false" customHeight="false" outlineLevel="0" collapsed="false">
      <c r="A19" s="20" t="s">
        <v>203</v>
      </c>
      <c r="B19" s="21" t="n">
        <v>18</v>
      </c>
      <c r="C19" s="22" t="s">
        <v>184</v>
      </c>
    </row>
    <row r="20" customFormat="false" ht="15" hidden="false" customHeight="false" outlineLevel="0" collapsed="false">
      <c r="A20" s="20" t="s">
        <v>204</v>
      </c>
      <c r="B20" s="21" t="n">
        <v>16.9</v>
      </c>
      <c r="C20" s="22" t="s">
        <v>184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0.6</v>
      </c>
      <c r="E25" s="26" t="n">
        <v>15</v>
      </c>
      <c r="F25" s="27" t="n">
        <f aca="false">D25*E25</f>
        <v>9</v>
      </c>
      <c r="G25" s="28" t="n">
        <f aca="false">F25/B12</f>
        <v>1.89473684210526</v>
      </c>
      <c r="H25" s="29" t="n">
        <f aca="false">G25-1</f>
        <v>0.894736842105263</v>
      </c>
      <c r="I25" s="29" t="n">
        <f aca="false">G25^(1/C25)-1</f>
        <v>0.237417631815703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1.4</v>
      </c>
      <c r="E26" s="26" t="n">
        <v>17</v>
      </c>
      <c r="F26" s="27" t="n">
        <f aca="false">D26*E26</f>
        <v>23.8</v>
      </c>
      <c r="G26" s="28" t="n">
        <f aca="false">F26/B12</f>
        <v>5.01052631578947</v>
      </c>
      <c r="H26" s="29" t="n">
        <f aca="false">G26-1</f>
        <v>4.01052631578947</v>
      </c>
      <c r="I26" s="29" t="n">
        <f aca="false">G26^(1/C26)-1</f>
        <v>0.584771566780115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</v>
      </c>
      <c r="E27" s="26" t="n">
        <v>18</v>
      </c>
      <c r="F27" s="27" t="n">
        <f aca="false">D27*E27</f>
        <v>36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0.568442646751593</v>
      </c>
    </row>
    <row r="28" customFormat="false" ht="30" hidden="false" customHeight="true" outlineLevel="0" collapsed="false">
      <c r="A28" s="18" t="s">
        <v>206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207</v>
      </c>
      <c r="E32" s="25" t="n">
        <v>5</v>
      </c>
      <c r="F32" s="28" t="n">
        <f aca="false">E32/B12</f>
        <v>1.05263157894737</v>
      </c>
      <c r="G32" s="29" t="n">
        <f aca="false">F32-1</f>
        <v>0.0526315789473684</v>
      </c>
      <c r="H32" s="29" t="n">
        <f aca="false">F32^(1/C32)-1</f>
        <v>0.017244768191101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208</v>
      </c>
      <c r="E33" s="25" t="n">
        <v>24.2</v>
      </c>
      <c r="F33" s="28" t="n">
        <f aca="false">E33/B12</f>
        <v>5.09473684210526</v>
      </c>
      <c r="G33" s="29" t="n">
        <f aca="false">F33-1</f>
        <v>4.09473684210526</v>
      </c>
      <c r="H33" s="29" t="n">
        <f aca="false">F33^(1/C33)-1</f>
        <v>0.592336270065984</v>
      </c>
    </row>
    <row r="34" customFormat="false" ht="1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209</v>
      </c>
      <c r="E34" s="25" t="n">
        <v>40</v>
      </c>
      <c r="F34" s="28" t="n">
        <f aca="false">E34/B12</f>
        <v>8.42105263157895</v>
      </c>
      <c r="G34" s="29" t="n">
        <f aca="false">F34-1</f>
        <v>7.42105263157895</v>
      </c>
      <c r="H34" s="29" t="n">
        <f aca="false">F34^(1/C34)-1</f>
        <v>0.605598573805891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24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5.05263157894737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4.05263157894737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0.588565175565576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1.05263157894737</v>
      </c>
      <c r="C40" s="30" t="n">
        <f aca="false">MAX(G27,F34)</f>
        <v>8.42105263157895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4.8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210</v>
      </c>
    </row>
    <row r="45" customFormat="false" ht="15" hidden="false" customHeight="false" outlineLevel="0" collapsed="false">
      <c r="A45" s="2" t="s">
        <v>211</v>
      </c>
    </row>
    <row r="46" customFormat="false" ht="15" hidden="false" customHeight="false" outlineLevel="0" collapsed="false">
      <c r="A46" s="2" t="s">
        <v>212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12" t="s">
        <v>38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39</v>
      </c>
    </row>
    <row r="6" customFormat="false" ht="15" hidden="false" customHeight="false" outlineLevel="0" collapsed="false">
      <c r="A6" s="14" t="s">
        <v>101</v>
      </c>
      <c r="B6" s="15" t="n">
        <v>190</v>
      </c>
    </row>
    <row r="7" customFormat="false" ht="15" hidden="false" customHeight="false" outlineLevel="0" collapsed="false">
      <c r="A7" s="14" t="s">
        <v>102</v>
      </c>
      <c r="B7" s="15" t="n">
        <v>190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195</v>
      </c>
    </row>
    <row r="11" customFormat="false" ht="15" hidden="false" customHeight="false" outlineLevel="0" collapsed="false">
      <c r="A11" s="14" t="s">
        <v>106</v>
      </c>
      <c r="B11" s="15" t="n">
        <v>210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202.5</v>
      </c>
    </row>
    <row r="13" customFormat="false" ht="42" hidden="false" customHeight="true" outlineLevel="0" collapsed="false">
      <c r="A13" s="14" t="s">
        <v>108</v>
      </c>
      <c r="B13" s="18" t="s">
        <v>213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214</v>
      </c>
      <c r="B17" s="21" t="n">
        <v>21</v>
      </c>
      <c r="C17" s="22" t="s">
        <v>215</v>
      </c>
    </row>
    <row r="18" customFormat="false" ht="15" hidden="false" customHeight="false" outlineLevel="0" collapsed="false">
      <c r="A18" s="20" t="s">
        <v>119</v>
      </c>
      <c r="B18" s="21" t="n">
        <v>61</v>
      </c>
      <c r="C18" s="22" t="s">
        <v>216</v>
      </c>
    </row>
    <row r="19" customFormat="false" ht="15" hidden="false" customHeight="false" outlineLevel="0" collapsed="false">
      <c r="A19" s="20" t="s">
        <v>217</v>
      </c>
      <c r="B19" s="21" t="n">
        <v>10</v>
      </c>
      <c r="C19" s="22" t="s">
        <v>218</v>
      </c>
    </row>
    <row r="20" customFormat="false" ht="15" hidden="false" customHeight="false" outlineLevel="0" collapsed="false">
      <c r="A20" s="20" t="s">
        <v>113</v>
      </c>
      <c r="B20" s="21" t="n">
        <v>10.5</v>
      </c>
      <c r="C20" s="22" t="s">
        <v>219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14</v>
      </c>
      <c r="E25" s="26" t="n">
        <v>18</v>
      </c>
      <c r="F25" s="27" t="n">
        <f aca="false">D25*E25</f>
        <v>252</v>
      </c>
      <c r="G25" s="28" t="n">
        <f aca="false">F25/B12</f>
        <v>1.24444444444444</v>
      </c>
      <c r="H25" s="29" t="n">
        <f aca="false">G25-1</f>
        <v>0.244444444444444</v>
      </c>
      <c r="I25" s="29" t="n">
        <f aca="false">G25^(1/C25)-1</f>
        <v>0.115546702045434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2</v>
      </c>
      <c r="D26" s="25" t="n">
        <v>16</v>
      </c>
      <c r="E26" s="26" t="n">
        <v>26.5</v>
      </c>
      <c r="F26" s="27" t="n">
        <f aca="false">D26*E26</f>
        <v>424</v>
      </c>
      <c r="G26" s="28" t="n">
        <f aca="false">F26/B12</f>
        <v>2.09382716049383</v>
      </c>
      <c r="H26" s="29" t="n">
        <f aca="false">G26-1</f>
        <v>1.09382716049383</v>
      </c>
      <c r="I26" s="29" t="n">
        <f aca="false">G26^(1/C26)-1</f>
        <v>0.447006275208863</v>
      </c>
    </row>
    <row r="27" customFormat="false" ht="15" hidden="false" customHeight="false" outlineLevel="0" collapsed="false">
      <c r="A27" s="20" t="s">
        <v>134</v>
      </c>
      <c r="B27" s="23" t="s">
        <v>163</v>
      </c>
      <c r="C27" s="24" t="n">
        <v>3</v>
      </c>
      <c r="D27" s="25" t="n">
        <v>25</v>
      </c>
      <c r="E27" s="26" t="n">
        <v>25</v>
      </c>
      <c r="F27" s="27" t="n">
        <f aca="false">D27*E27</f>
        <v>625</v>
      </c>
      <c r="G27" s="28" t="n">
        <f aca="false">F27/B12</f>
        <v>3.08641975308642</v>
      </c>
      <c r="H27" s="29" t="n">
        <f aca="false">G27-1</f>
        <v>2.08641975308642</v>
      </c>
      <c r="I27" s="29" t="n">
        <f aca="false">G27^(1/C27)-1</f>
        <v>0.455967441227165</v>
      </c>
    </row>
    <row r="28" customFormat="false" ht="30" hidden="false" customHeight="true" outlineLevel="0" collapsed="false">
      <c r="A28" s="18" t="s">
        <v>220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221</v>
      </c>
      <c r="E32" s="25" t="n">
        <v>190</v>
      </c>
      <c r="F32" s="28" t="n">
        <f aca="false">E32/B12</f>
        <v>0.938271604938272</v>
      </c>
      <c r="G32" s="29" t="n">
        <f aca="false">F32-1</f>
        <v>-0.0617283950617285</v>
      </c>
      <c r="H32" s="29" t="n">
        <f aca="false">F32^(1/C32)-1</f>
        <v>-0.0313557903242948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2</v>
      </c>
      <c r="D33" s="5" t="s">
        <v>222</v>
      </c>
      <c r="E33" s="25" t="n">
        <v>426</v>
      </c>
      <c r="F33" s="28" t="n">
        <f aca="false">E33/B12</f>
        <v>2.1037037037037</v>
      </c>
      <c r="G33" s="29" t="n">
        <f aca="false">F33-1</f>
        <v>1.1037037037037</v>
      </c>
      <c r="H33" s="29" t="n">
        <f aca="false">F33^(1/C33)-1</f>
        <v>0.45041501085162</v>
      </c>
    </row>
    <row r="34" customFormat="false" ht="15" hidden="false" customHeight="false" outlineLevel="0" collapsed="false">
      <c r="A34" s="20" t="s">
        <v>134</v>
      </c>
      <c r="B34" s="23" t="s">
        <v>163</v>
      </c>
      <c r="C34" s="24" t="n">
        <v>3</v>
      </c>
      <c r="D34" s="5" t="s">
        <v>223</v>
      </c>
      <c r="E34" s="25" t="n">
        <v>600</v>
      </c>
      <c r="F34" s="28" t="n">
        <f aca="false">E34/B12</f>
        <v>2.96296296296296</v>
      </c>
      <c r="G34" s="29" t="n">
        <f aca="false">F34-1</f>
        <v>1.96296296296296</v>
      </c>
      <c r="H34" s="29" t="n">
        <f aca="false">F34^(1/C34)-1</f>
        <v>0.436289793354589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2.09876543209877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1.09876543209877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0.448711645600589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0.938271604938272</v>
      </c>
      <c r="C40" s="30" t="n">
        <f aca="false">MAX(G27,F34)</f>
        <v>3.08641975308642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2.02380952380952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224</v>
      </c>
    </row>
    <row r="45" customFormat="false" ht="15" hidden="false" customHeight="false" outlineLevel="0" collapsed="false">
      <c r="A45" s="2" t="s">
        <v>225</v>
      </c>
    </row>
    <row r="46" customFormat="false" ht="15" hidden="false" customHeight="false" outlineLevel="0" collapsed="false">
      <c r="A46" s="2" t="s">
        <v>226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12" t="s">
        <v>42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43</v>
      </c>
    </row>
    <row r="6" customFormat="false" ht="15" hidden="false" customHeight="false" outlineLevel="0" collapsed="false">
      <c r="A6" s="14" t="s">
        <v>101</v>
      </c>
      <c r="B6" s="15" t="n">
        <v>30</v>
      </c>
    </row>
    <row r="7" customFormat="false" ht="15" hidden="false" customHeight="false" outlineLevel="0" collapsed="false">
      <c r="A7" s="14" t="s">
        <v>102</v>
      </c>
      <c r="B7" s="15" t="n">
        <v>30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23</v>
      </c>
    </row>
    <row r="11" customFormat="false" ht="15" hidden="false" customHeight="false" outlineLevel="0" collapsed="false">
      <c r="A11" s="14" t="s">
        <v>106</v>
      </c>
      <c r="B11" s="15" t="n">
        <v>28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25.5</v>
      </c>
    </row>
    <row r="13" customFormat="false" ht="42" hidden="false" customHeight="true" outlineLevel="0" collapsed="false">
      <c r="A13" s="14" t="s">
        <v>108</v>
      </c>
      <c r="B13" s="18" t="s">
        <v>227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214</v>
      </c>
      <c r="B17" s="21" t="n">
        <v>21</v>
      </c>
      <c r="C17" s="22" t="s">
        <v>228</v>
      </c>
    </row>
    <row r="18" customFormat="false" ht="15" hidden="false" customHeight="false" outlineLevel="0" collapsed="false">
      <c r="A18" s="20" t="s">
        <v>229</v>
      </c>
      <c r="B18" s="21" t="n">
        <v>6.1</v>
      </c>
      <c r="C18" s="22" t="s">
        <v>230</v>
      </c>
    </row>
    <row r="19" customFormat="false" ht="15" hidden="false" customHeight="false" outlineLevel="0" collapsed="false">
      <c r="A19" s="20" t="s">
        <v>231</v>
      </c>
      <c r="B19" s="21" t="n">
        <v>4.7</v>
      </c>
      <c r="C19" s="22" t="s">
        <v>232</v>
      </c>
    </row>
    <row r="20" customFormat="false" ht="15" hidden="false" customHeight="false" outlineLevel="0" collapsed="false">
      <c r="A20" s="20" t="s">
        <v>233</v>
      </c>
      <c r="B20" s="21" t="n">
        <v>3.2</v>
      </c>
      <c r="C20" s="22" t="s">
        <v>234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1.5</v>
      </c>
      <c r="E25" s="26" t="n">
        <v>20</v>
      </c>
      <c r="F25" s="27" t="n">
        <f aca="false">D25*E25</f>
        <v>30</v>
      </c>
      <c r="G25" s="28" t="n">
        <f aca="false">F25/B12</f>
        <v>1.17647058823529</v>
      </c>
      <c r="H25" s="29" t="n">
        <f aca="false">G25-1</f>
        <v>0.176470588235294</v>
      </c>
      <c r="I25" s="29" t="n">
        <f aca="false">G25^(1/C25)-1</f>
        <v>0.0846522890932808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3.4</v>
      </c>
      <c r="E26" s="26" t="n">
        <v>24</v>
      </c>
      <c r="F26" s="27" t="n">
        <f aca="false">D26*E26</f>
        <v>81.6</v>
      </c>
      <c r="G26" s="28" t="n">
        <f aca="false">F26/B12</f>
        <v>3.2</v>
      </c>
      <c r="H26" s="29" t="n">
        <f aca="false">G26-1</f>
        <v>2.2</v>
      </c>
      <c r="I26" s="29" t="n">
        <f aca="false">G26^(1/C26)-1</f>
        <v>0.592428682213989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5</v>
      </c>
      <c r="E27" s="26" t="n">
        <v>28</v>
      </c>
      <c r="F27" s="27" t="n">
        <f aca="false">D27*E27</f>
        <v>140</v>
      </c>
      <c r="G27" s="28" t="n">
        <f aca="false">F27/B12</f>
        <v>5.49019607843137</v>
      </c>
      <c r="H27" s="29" t="n">
        <f aca="false">G27-1</f>
        <v>4.49019607843137</v>
      </c>
      <c r="I27" s="29" t="n">
        <f aca="false">G27^(1/C27)-1</f>
        <v>0.626712544544795</v>
      </c>
    </row>
    <row r="28" customFormat="false" ht="30" hidden="false" customHeight="true" outlineLevel="0" collapsed="false">
      <c r="A28" s="18" t="s">
        <v>235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236</v>
      </c>
      <c r="E32" s="25" t="n">
        <v>30</v>
      </c>
      <c r="F32" s="28" t="n">
        <f aca="false">E32/B12</f>
        <v>1.17647058823529</v>
      </c>
      <c r="G32" s="29" t="n">
        <f aca="false">F32-1</f>
        <v>0.176470588235294</v>
      </c>
      <c r="H32" s="29" t="n">
        <f aca="false">F32^(1/C32)-1</f>
        <v>0.0846522890932808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237</v>
      </c>
      <c r="E33" s="25" t="n">
        <v>81.6</v>
      </c>
      <c r="F33" s="28" t="n">
        <f aca="false">E33/B12</f>
        <v>3.2</v>
      </c>
      <c r="G33" s="29" t="n">
        <f aca="false">F33-1</f>
        <v>2.2</v>
      </c>
      <c r="H33" s="29" t="n">
        <f aca="false">F33^(1/C33)-1</f>
        <v>0.592428682213989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238</v>
      </c>
      <c r="E34" s="25" t="n">
        <v>140</v>
      </c>
      <c r="F34" s="28" t="n">
        <f aca="false">E34/B12</f>
        <v>5.49019607843137</v>
      </c>
      <c r="G34" s="29" t="n">
        <f aca="false">F34-1</f>
        <v>4.49019607843137</v>
      </c>
      <c r="H34" s="29" t="n">
        <f aca="false">F34^(1/C34)-1</f>
        <v>0.626712544544795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81.6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0.592428682213989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1.17647058823529</v>
      </c>
      <c r="C40" s="30" t="n">
        <f aca="false">MAX(G27,F34)</f>
        <v>5.49019607843137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2.91428571428571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239</v>
      </c>
    </row>
    <row r="45" customFormat="false" ht="15" hidden="false" customHeight="false" outlineLevel="0" collapsed="false">
      <c r="A45" s="2" t="s">
        <v>240</v>
      </c>
    </row>
    <row r="46" customFormat="false" ht="15" hidden="false" customHeight="false" outlineLevel="0" collapsed="false">
      <c r="A46" s="2" t="s">
        <v>241</v>
      </c>
    </row>
    <row r="47" customFormat="false" ht="15" hidden="false" customHeight="false" outlineLevel="0" collapsed="false">
      <c r="A47" s="2" t="s">
        <v>242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12" t="s">
        <v>46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47</v>
      </c>
    </row>
    <row r="6" customFormat="false" ht="15" hidden="false" customHeight="false" outlineLevel="0" collapsed="false">
      <c r="A6" s="14" t="s">
        <v>101</v>
      </c>
      <c r="B6" s="15" t="n">
        <v>425</v>
      </c>
    </row>
    <row r="7" customFormat="false" ht="15" hidden="false" customHeight="false" outlineLevel="0" collapsed="false">
      <c r="A7" s="14" t="s">
        <v>102</v>
      </c>
      <c r="B7" s="15" t="n">
        <v>425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590</v>
      </c>
    </row>
    <row r="11" customFormat="false" ht="15" hidden="false" customHeight="false" outlineLevel="0" collapsed="false">
      <c r="A11" s="14" t="s">
        <v>106</v>
      </c>
      <c r="B11" s="15" t="n">
        <v>610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600</v>
      </c>
    </row>
    <row r="13" customFormat="false" ht="42" hidden="false" customHeight="true" outlineLevel="0" collapsed="false">
      <c r="A13" s="14" t="s">
        <v>108</v>
      </c>
      <c r="B13" s="18" t="s">
        <v>243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118</v>
      </c>
      <c r="B17" s="21" t="n">
        <v>7.5</v>
      </c>
      <c r="C17" s="22" t="s">
        <v>244</v>
      </c>
    </row>
    <row r="18" customFormat="false" ht="15" hidden="false" customHeight="false" outlineLevel="0" collapsed="false">
      <c r="A18" s="20" t="s">
        <v>245</v>
      </c>
      <c r="B18" s="21" t="n">
        <v>10.7</v>
      </c>
      <c r="C18" s="22" t="s">
        <v>246</v>
      </c>
    </row>
    <row r="19" customFormat="false" ht="15" hidden="false" customHeight="false" outlineLevel="0" collapsed="false">
      <c r="A19" s="20" t="s">
        <v>247</v>
      </c>
      <c r="B19" s="21" t="n">
        <v>4.5</v>
      </c>
      <c r="C19" s="22" t="s">
        <v>248</v>
      </c>
    </row>
    <row r="20" customFormat="false" ht="15" hidden="false" customHeight="false" outlineLevel="0" collapsed="false">
      <c r="A20" s="20" t="s">
        <v>249</v>
      </c>
      <c r="B20" s="21" t="n">
        <v>2</v>
      </c>
      <c r="C20" s="22" t="s">
        <v>250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220</v>
      </c>
      <c r="E25" s="26" t="n">
        <v>3</v>
      </c>
      <c r="F25" s="27" t="n">
        <f aca="false">D25*E25</f>
        <v>660</v>
      </c>
      <c r="G25" s="28" t="n">
        <f aca="false">F25/B12</f>
        <v>1.1</v>
      </c>
      <c r="H25" s="29" t="n">
        <f aca="false">G25-1</f>
        <v>0.1</v>
      </c>
      <c r="I25" s="29" t="n">
        <f aca="false">G25^(1/C25)-1</f>
        <v>0.0488088481701516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2</v>
      </c>
      <c r="D26" s="25" t="n">
        <v>300</v>
      </c>
      <c r="E26" s="26" t="n">
        <v>4</v>
      </c>
      <c r="F26" s="27" t="n">
        <f aca="false">D26*E26</f>
        <v>1200</v>
      </c>
      <c r="G26" s="28" t="n">
        <f aca="false">F26/B12</f>
        <v>2</v>
      </c>
      <c r="H26" s="29" t="n">
        <f aca="false">G26-1</f>
        <v>1</v>
      </c>
      <c r="I26" s="29" t="n">
        <f aca="false">G26^(1/C26)-1</f>
        <v>0.414213562373095</v>
      </c>
    </row>
    <row r="27" customFormat="false" ht="15" hidden="false" customHeight="false" outlineLevel="0" collapsed="false">
      <c r="A27" s="20" t="s">
        <v>134</v>
      </c>
      <c r="B27" s="23" t="s">
        <v>163</v>
      </c>
      <c r="C27" s="24" t="n">
        <v>3</v>
      </c>
      <c r="D27" s="25" t="n">
        <v>340</v>
      </c>
      <c r="E27" s="26" t="n">
        <v>4.5</v>
      </c>
      <c r="F27" s="27" t="n">
        <f aca="false">D27*E27</f>
        <v>1530</v>
      </c>
      <c r="G27" s="28" t="n">
        <f aca="false">F27/B12</f>
        <v>2.55</v>
      </c>
      <c r="H27" s="29" t="n">
        <f aca="false">G27-1</f>
        <v>1.55</v>
      </c>
      <c r="I27" s="29" t="n">
        <f aca="false">G27^(1/C27)-1</f>
        <v>0.366197208047234</v>
      </c>
    </row>
    <row r="28" customFormat="false" ht="30" hidden="false" customHeight="true" outlineLevel="0" collapsed="false">
      <c r="A28" s="18" t="s">
        <v>251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252</v>
      </c>
      <c r="E32" s="25" t="n">
        <v>600</v>
      </c>
      <c r="F32" s="28" t="n">
        <f aca="false">E32/B12</f>
        <v>1</v>
      </c>
      <c r="G32" s="29" t="n">
        <f aca="false">F32-1</f>
        <v>0</v>
      </c>
      <c r="H32" s="29" t="n">
        <f aca="false">F32^(1/C32)-1</f>
        <v>0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2</v>
      </c>
      <c r="D33" s="5" t="s">
        <v>253</v>
      </c>
      <c r="E33" s="25" t="n">
        <v>1200</v>
      </c>
      <c r="F33" s="28" t="n">
        <f aca="false">E33/B12</f>
        <v>2</v>
      </c>
      <c r="G33" s="29" t="n">
        <f aca="false">F33-1</f>
        <v>1</v>
      </c>
      <c r="H33" s="29" t="n">
        <f aca="false">F33^(1/C33)-1</f>
        <v>0.414213562373095</v>
      </c>
    </row>
    <row r="34" customFormat="false" ht="15" hidden="false" customHeight="false" outlineLevel="0" collapsed="false">
      <c r="A34" s="20" t="s">
        <v>134</v>
      </c>
      <c r="B34" s="23" t="s">
        <v>163</v>
      </c>
      <c r="C34" s="24" t="n">
        <v>3</v>
      </c>
      <c r="D34" s="5" t="s">
        <v>254</v>
      </c>
      <c r="E34" s="25" t="n">
        <v>1600</v>
      </c>
      <c r="F34" s="28" t="n">
        <f aca="false">E34/B12</f>
        <v>2.66666666666667</v>
      </c>
      <c r="G34" s="29" t="n">
        <f aca="false">F34-1</f>
        <v>1.66666666666667</v>
      </c>
      <c r="H34" s="29" t="n">
        <f aca="false">F34^(1/C34)-1</f>
        <v>0.386722548701269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1200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0.414213562373095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</v>
      </c>
      <c r="C40" s="30" t="n">
        <f aca="false">MAX(G27,F34)</f>
        <v>2.66666666666667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1.9672131147541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255</v>
      </c>
    </row>
    <row r="45" customFormat="false" ht="15" hidden="false" customHeight="false" outlineLevel="0" collapsed="false">
      <c r="A45" s="2" t="s">
        <v>256</v>
      </c>
    </row>
    <row r="46" customFormat="false" ht="15" hidden="false" customHeight="false" outlineLevel="0" collapsed="false">
      <c r="A46" s="2" t="s">
        <v>257</v>
      </c>
    </row>
    <row r="47" customFormat="false" ht="15" hidden="false" customHeight="false" outlineLevel="0" collapsed="false">
      <c r="A47" s="2" t="s">
        <v>258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12" t="s">
        <v>50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51</v>
      </c>
    </row>
    <row r="6" customFormat="false" ht="15" hidden="false" customHeight="false" outlineLevel="0" collapsed="false">
      <c r="A6" s="14" t="s">
        <v>101</v>
      </c>
      <c r="B6" s="15" t="n">
        <v>7.2</v>
      </c>
    </row>
    <row r="7" customFormat="false" ht="15" hidden="false" customHeight="false" outlineLevel="0" collapsed="false">
      <c r="A7" s="14" t="s">
        <v>102</v>
      </c>
      <c r="B7" s="15" t="n">
        <v>7.2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6.5</v>
      </c>
    </row>
    <row r="11" customFormat="false" ht="15" hidden="false" customHeight="false" outlineLevel="0" collapsed="false">
      <c r="A11" s="14" t="s">
        <v>106</v>
      </c>
      <c r="B11" s="15" t="n">
        <v>7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6.75</v>
      </c>
    </row>
    <row r="13" customFormat="false" ht="42" hidden="false" customHeight="true" outlineLevel="0" collapsed="false">
      <c r="A13" s="14" t="s">
        <v>108</v>
      </c>
      <c r="B13" s="18" t="s">
        <v>259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119</v>
      </c>
      <c r="B17" s="21" t="n">
        <v>61</v>
      </c>
      <c r="C17" s="22" t="s">
        <v>260</v>
      </c>
    </row>
    <row r="18" customFormat="false" ht="15" hidden="false" customHeight="false" outlineLevel="0" collapsed="false">
      <c r="A18" s="20" t="s">
        <v>214</v>
      </c>
      <c r="B18" s="21" t="n">
        <v>21.3</v>
      </c>
      <c r="C18" s="22" t="s">
        <v>184</v>
      </c>
    </row>
    <row r="19" customFormat="false" ht="15" hidden="false" customHeight="false" outlineLevel="0" collapsed="false">
      <c r="A19" s="20" t="s">
        <v>261</v>
      </c>
      <c r="B19" s="21" t="n">
        <v>20.9</v>
      </c>
      <c r="C19" s="22" t="s">
        <v>184</v>
      </c>
    </row>
    <row r="20" customFormat="false" ht="15" hidden="false" customHeight="false" outlineLevel="0" collapsed="false">
      <c r="A20" s="20" t="s">
        <v>217</v>
      </c>
      <c r="B20" s="21" t="n">
        <v>9.5</v>
      </c>
      <c r="C20" s="22" t="s">
        <v>184</v>
      </c>
    </row>
    <row r="21" customFormat="false" ht="15" hidden="false" customHeight="false" outlineLevel="0" collapsed="false">
      <c r="A21" s="20" t="s">
        <v>262</v>
      </c>
      <c r="B21" s="21" t="n">
        <v>8.2</v>
      </c>
      <c r="C21" s="22" t="s">
        <v>263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0.6</v>
      </c>
      <c r="E25" s="26" t="n">
        <v>12</v>
      </c>
      <c r="F25" s="27" t="n">
        <f aca="false">D25*E25</f>
        <v>7.2</v>
      </c>
      <c r="G25" s="28" t="n">
        <f aca="false">F25/B12</f>
        <v>1.06666666666667</v>
      </c>
      <c r="H25" s="29" t="n">
        <f aca="false">G25-1</f>
        <v>0.0666666666666667</v>
      </c>
      <c r="I25" s="29" t="n">
        <f aca="false">G25^(1/C25)-1</f>
        <v>0.0327955589886444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1.25</v>
      </c>
      <c r="E26" s="26" t="n">
        <v>20</v>
      </c>
      <c r="F26" s="27" t="n">
        <f aca="false">D26*E26</f>
        <v>25</v>
      </c>
      <c r="G26" s="28" t="n">
        <f aca="false">F26/B12</f>
        <v>3.7037037037037</v>
      </c>
      <c r="H26" s="29" t="n">
        <f aca="false">G26-1</f>
        <v>2.7037037037037</v>
      </c>
      <c r="I26" s="29" t="n">
        <f aca="false">G26^(1/C26)-1</f>
        <v>0.688318947040394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2</v>
      </c>
      <c r="E27" s="26" t="n">
        <v>25</v>
      </c>
      <c r="F27" s="27" t="n">
        <f aca="false">D27*E27</f>
        <v>50</v>
      </c>
      <c r="G27" s="28" t="n">
        <f aca="false">F27/B12</f>
        <v>7.40740740740741</v>
      </c>
      <c r="H27" s="29" t="n">
        <f aca="false">G27-1</f>
        <v>6.40740740740741</v>
      </c>
      <c r="I27" s="29" t="n">
        <f aca="false">G27^(1/C27)-1</f>
        <v>0.772050385209221</v>
      </c>
    </row>
    <row r="28" customFormat="false" ht="30" hidden="false" customHeight="true" outlineLevel="0" collapsed="false">
      <c r="A28" s="18" t="s">
        <v>264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265</v>
      </c>
      <c r="E32" s="25" t="n">
        <v>10</v>
      </c>
      <c r="F32" s="28" t="n">
        <f aca="false">E32/B12</f>
        <v>1.48148148148148</v>
      </c>
      <c r="G32" s="29" t="n">
        <f aca="false">F32-1</f>
        <v>0.481481481481481</v>
      </c>
      <c r="H32" s="29" t="n">
        <f aca="false">F32^(1/C32)-1</f>
        <v>0.217161238900369</v>
      </c>
    </row>
    <row r="33" customFormat="false" ht="1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266</v>
      </c>
      <c r="E33" s="25" t="n">
        <v>25</v>
      </c>
      <c r="F33" s="28" t="n">
        <f aca="false">E33/B12</f>
        <v>3.7037037037037</v>
      </c>
      <c r="G33" s="29" t="n">
        <f aca="false">F33-1</f>
        <v>2.7037037037037</v>
      </c>
      <c r="H33" s="29" t="n">
        <f aca="false">F33^(1/C33)-1</f>
        <v>0.688318947040394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267</v>
      </c>
      <c r="E34" s="25" t="n">
        <v>45</v>
      </c>
      <c r="F34" s="28" t="n">
        <f aca="false">E34/B12</f>
        <v>6.66666666666667</v>
      </c>
      <c r="G34" s="29" t="n">
        <f aca="false">F34-1</f>
        <v>5.66666666666667</v>
      </c>
      <c r="H34" s="29" t="n">
        <f aca="false">F34^(1/C34)-1</f>
        <v>0.719501256105151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3.7037037037037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2.7037037037037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0.688318947040394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1.06666666666667</v>
      </c>
      <c r="C40" s="30" t="n">
        <f aca="false">MAX(G27,F34)</f>
        <v>7.40740740740741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3.57142857142857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268</v>
      </c>
    </row>
    <row r="45" customFormat="false" ht="15" hidden="false" customHeight="false" outlineLevel="0" collapsed="false">
      <c r="A45" s="2" t="s">
        <v>269</v>
      </c>
    </row>
    <row r="46" customFormat="false" ht="15" hidden="false" customHeight="false" outlineLevel="0" collapsed="false">
      <c r="A46" s="2" t="s">
        <v>270</v>
      </c>
    </row>
    <row r="47" customFormat="false" ht="15" hidden="false" customHeight="false" outlineLevel="0" collapsed="false">
      <c r="A47" s="2" t="s">
        <v>271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12" t="s">
        <v>53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54</v>
      </c>
    </row>
    <row r="6" customFormat="false" ht="15" hidden="false" customHeight="false" outlineLevel="0" collapsed="false">
      <c r="A6" s="14" t="s">
        <v>101</v>
      </c>
      <c r="B6" s="15" t="n">
        <v>4.4</v>
      </c>
    </row>
    <row r="7" customFormat="false" ht="15" hidden="false" customHeight="false" outlineLevel="0" collapsed="false">
      <c r="A7" s="14" t="s">
        <v>102</v>
      </c>
      <c r="B7" s="15" t="n">
        <v>4.4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4.5</v>
      </c>
    </row>
    <row r="11" customFormat="false" ht="15" hidden="false" customHeight="false" outlineLevel="0" collapsed="false">
      <c r="A11" s="14" t="s">
        <v>106</v>
      </c>
      <c r="B11" s="15" t="n">
        <v>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108</v>
      </c>
      <c r="B13" s="18" t="s">
        <v>272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273</v>
      </c>
      <c r="B17" s="21" t="n">
        <v>21.1</v>
      </c>
      <c r="C17" s="22" t="s">
        <v>274</v>
      </c>
    </row>
    <row r="18" customFormat="false" ht="15" hidden="false" customHeight="false" outlineLevel="0" collapsed="false">
      <c r="A18" s="20" t="s">
        <v>115</v>
      </c>
      <c r="B18" s="21" t="n">
        <v>20.6</v>
      </c>
      <c r="C18" s="22" t="s">
        <v>184</v>
      </c>
    </row>
    <row r="19" customFormat="false" ht="15" hidden="false" customHeight="false" outlineLevel="0" collapsed="false">
      <c r="A19" s="20" t="s">
        <v>202</v>
      </c>
      <c r="B19" s="21" t="n">
        <v>14.2</v>
      </c>
      <c r="C19" s="22" t="s">
        <v>275</v>
      </c>
    </row>
    <row r="20" customFormat="false" ht="15" hidden="false" customHeight="false" outlineLevel="0" collapsed="false">
      <c r="A20" s="20" t="s">
        <v>276</v>
      </c>
      <c r="B20" s="21" t="n">
        <v>10.3</v>
      </c>
      <c r="C20" s="22" t="s">
        <v>277</v>
      </c>
    </row>
    <row r="21" customFormat="false" ht="15" hidden="false" customHeight="false" outlineLevel="0" collapsed="false">
      <c r="A21" s="20" t="s">
        <v>204</v>
      </c>
      <c r="B21" s="21" t="n">
        <v>9.4</v>
      </c>
      <c r="C21" s="22" t="s">
        <v>275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0.4</v>
      </c>
      <c r="E25" s="26" t="n">
        <v>10</v>
      </c>
      <c r="F25" s="27" t="n">
        <f aca="false">D25*E25</f>
        <v>4</v>
      </c>
      <c r="G25" s="28" t="n">
        <f aca="false">F25/B12</f>
        <v>0.842105263157895</v>
      </c>
      <c r="H25" s="29" t="n">
        <f aca="false">G25-1</f>
        <v>-0.157894736842105</v>
      </c>
      <c r="I25" s="29" t="n">
        <f aca="false">G25^(1/C25)-1</f>
        <v>-0.0556736085826332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1.45</v>
      </c>
      <c r="E26" s="26" t="n">
        <v>14</v>
      </c>
      <c r="F26" s="27" t="n">
        <f aca="false">D26*E26</f>
        <v>20.3</v>
      </c>
      <c r="G26" s="28" t="n">
        <f aca="false">F26/B12</f>
        <v>4.27368421052632</v>
      </c>
      <c r="H26" s="29" t="n">
        <f aca="false">G26-1</f>
        <v>3.27368421052632</v>
      </c>
      <c r="I26" s="29" t="n">
        <f aca="false">G26^(1/C26)-1</f>
        <v>0.5143604724284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2.8</v>
      </c>
      <c r="E27" s="26" t="n">
        <v>18</v>
      </c>
      <c r="F27" s="27" t="n">
        <f aca="false">D27*E27</f>
        <v>50.4</v>
      </c>
      <c r="G27" s="28" t="n">
        <f aca="false">F27/B12</f>
        <v>10.6105263157895</v>
      </c>
      <c r="H27" s="29" t="n">
        <f aca="false">G27-1</f>
        <v>9.61052631578947</v>
      </c>
      <c r="I27" s="29" t="n">
        <f aca="false">G27^(1/C27)-1</f>
        <v>0.69021339543408</v>
      </c>
    </row>
    <row r="28" customFormat="false" ht="30" hidden="false" customHeight="true" outlineLevel="0" collapsed="false">
      <c r="A28" s="18" t="s">
        <v>278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279</v>
      </c>
      <c r="E32" s="25" t="n">
        <v>5.5</v>
      </c>
      <c r="F32" s="28" t="n">
        <f aca="false">E32/B12</f>
        <v>1.15789473684211</v>
      </c>
      <c r="G32" s="29" t="n">
        <f aca="false">F32-1</f>
        <v>0.157894736842105</v>
      </c>
      <c r="H32" s="29" t="n">
        <f aca="false">F32^(1/C32)-1</f>
        <v>0.0500815467556952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280</v>
      </c>
      <c r="E33" s="25" t="n">
        <v>20.55</v>
      </c>
      <c r="F33" s="28" t="n">
        <f aca="false">E33/B12</f>
        <v>4.32631578947369</v>
      </c>
      <c r="G33" s="29" t="n">
        <f aca="false">F33-1</f>
        <v>3.32631578947369</v>
      </c>
      <c r="H33" s="29" t="n">
        <f aca="false">F33^(1/C33)-1</f>
        <v>0.519665702297149</v>
      </c>
    </row>
    <row r="34" customFormat="false" ht="1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281</v>
      </c>
      <c r="E34" s="25" t="n">
        <v>35</v>
      </c>
      <c r="F34" s="28" t="n">
        <f aca="false">E34/B12</f>
        <v>7.36842105263158</v>
      </c>
      <c r="G34" s="29" t="n">
        <f aca="false">F34-1</f>
        <v>6.36842105263158</v>
      </c>
      <c r="H34" s="29" t="n">
        <f aca="false">F34^(1/C34)-1</f>
        <v>0.558654559754822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20.425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4.3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3.3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0.517018885214634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0.842105263157895</v>
      </c>
      <c r="C40" s="30" t="n">
        <f aca="false">MAX(G27,F34)</f>
        <v>10.6105263157895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4.085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282</v>
      </c>
    </row>
    <row r="45" customFormat="false" ht="15" hidden="false" customHeight="false" outlineLevel="0" collapsed="false">
      <c r="A45" s="2" t="s">
        <v>283</v>
      </c>
    </row>
    <row r="46" customFormat="false" ht="15" hidden="false" customHeight="false" outlineLevel="0" collapsed="false">
      <c r="A46" s="2" t="s">
        <v>284</v>
      </c>
    </row>
    <row r="47" customFormat="false" ht="15" hidden="false" customHeight="false" outlineLevel="0" collapsed="false">
      <c r="A47" s="2" t="s">
        <v>285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55</v>
      </c>
    </row>
    <row r="2" customFormat="false" ht="15" hidden="false" customHeight="false" outlineLevel="0" collapsed="false">
      <c r="A2" s="12" t="s">
        <v>56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57</v>
      </c>
    </row>
    <row r="6" customFormat="false" ht="15" hidden="false" customHeight="false" outlineLevel="0" collapsed="false">
      <c r="A6" s="14" t="s">
        <v>101</v>
      </c>
      <c r="B6" s="15" t="n">
        <v>7</v>
      </c>
    </row>
    <row r="7" customFormat="false" ht="15" hidden="false" customHeight="false" outlineLevel="0" collapsed="false">
      <c r="A7" s="14" t="s">
        <v>102</v>
      </c>
      <c r="B7" s="15" t="n">
        <v>7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6</v>
      </c>
    </row>
    <row r="11" customFormat="false" ht="15" hidden="false" customHeight="false" outlineLevel="0" collapsed="false">
      <c r="A11" s="14" t="s">
        <v>106</v>
      </c>
      <c r="B11" s="15" t="n">
        <v>6.5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6.25</v>
      </c>
    </row>
    <row r="13" customFormat="false" ht="42" hidden="false" customHeight="true" outlineLevel="0" collapsed="false">
      <c r="A13" s="14" t="s">
        <v>108</v>
      </c>
      <c r="B13" s="18" t="s">
        <v>286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287</v>
      </c>
      <c r="B17" s="21" t="n">
        <v>58</v>
      </c>
      <c r="C17" s="22" t="s">
        <v>288</v>
      </c>
    </row>
    <row r="18" customFormat="false" ht="15" hidden="false" customHeight="false" outlineLevel="0" collapsed="false">
      <c r="A18" s="20" t="s">
        <v>289</v>
      </c>
      <c r="B18" s="21" t="n">
        <v>200</v>
      </c>
      <c r="C18" s="22" t="s">
        <v>290</v>
      </c>
    </row>
    <row r="19" customFormat="false" ht="15" hidden="false" customHeight="false" outlineLevel="0" collapsed="false">
      <c r="A19" s="20" t="s">
        <v>291</v>
      </c>
      <c r="B19" s="21" t="n">
        <v>157</v>
      </c>
      <c r="C19" s="22" t="s">
        <v>292</v>
      </c>
    </row>
    <row r="20" customFormat="false" ht="15" hidden="false" customHeight="false" outlineLevel="0" collapsed="false">
      <c r="A20" s="20" t="s">
        <v>293</v>
      </c>
      <c r="B20" s="21" t="n">
        <v>15.6</v>
      </c>
      <c r="C20" s="22" t="s">
        <v>294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3.5</v>
      </c>
      <c r="D25" s="25" t="n">
        <v>0.3</v>
      </c>
      <c r="E25" s="26" t="n">
        <v>25</v>
      </c>
      <c r="F25" s="27" t="n">
        <f aca="false">D25*E25</f>
        <v>7.5</v>
      </c>
      <c r="G25" s="28" t="n">
        <f aca="false">F25/B12</f>
        <v>1.2</v>
      </c>
      <c r="H25" s="29" t="n">
        <f aca="false">G25-1</f>
        <v>0.2</v>
      </c>
      <c r="I25" s="29" t="n">
        <f aca="false">G25^(1/C25)-1</f>
        <v>0.05347252413815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4.5</v>
      </c>
      <c r="D26" s="25" t="n">
        <v>1.45</v>
      </c>
      <c r="E26" s="26" t="n">
        <v>30</v>
      </c>
      <c r="F26" s="27" t="n">
        <f aca="false">D26*E26</f>
        <v>43.5</v>
      </c>
      <c r="G26" s="28" t="n">
        <f aca="false">F26/B12</f>
        <v>6.96</v>
      </c>
      <c r="H26" s="29" t="n">
        <f aca="false">G26-1</f>
        <v>5.96</v>
      </c>
      <c r="I26" s="29" t="n">
        <f aca="false">G26^(1/C26)-1</f>
        <v>0.539027916855115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5.5</v>
      </c>
      <c r="D27" s="25" t="n">
        <v>3</v>
      </c>
      <c r="E27" s="26" t="n">
        <v>35</v>
      </c>
      <c r="F27" s="27" t="n">
        <f aca="false">D27*E27</f>
        <v>105</v>
      </c>
      <c r="G27" s="28" t="n">
        <f aca="false">F27/B12</f>
        <v>16.8</v>
      </c>
      <c r="H27" s="29" t="n">
        <f aca="false">G27-1</f>
        <v>15.8</v>
      </c>
      <c r="I27" s="29" t="n">
        <f aca="false">G27^(1/C27)-1</f>
        <v>0.670257789268589</v>
      </c>
    </row>
    <row r="28" customFormat="false" ht="30" hidden="false" customHeight="true" outlineLevel="0" collapsed="false">
      <c r="A28" s="18" t="s">
        <v>295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3.5</v>
      </c>
      <c r="D32" s="5" t="s">
        <v>296</v>
      </c>
      <c r="E32" s="25" t="n">
        <v>8</v>
      </c>
      <c r="F32" s="28" t="n">
        <f aca="false">E32/B12</f>
        <v>1.28</v>
      </c>
      <c r="G32" s="29" t="n">
        <f aca="false">F32-1</f>
        <v>0.28</v>
      </c>
      <c r="H32" s="29" t="n">
        <f aca="false">F32^(1/C32)-1</f>
        <v>0.0730783181118904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4.5</v>
      </c>
      <c r="D33" s="5" t="s">
        <v>297</v>
      </c>
      <c r="E33" s="25" t="n">
        <v>44</v>
      </c>
      <c r="F33" s="28" t="n">
        <f aca="false">E33/B12</f>
        <v>7.04</v>
      </c>
      <c r="G33" s="29" t="n">
        <f aca="false">F33-1</f>
        <v>6.04</v>
      </c>
      <c r="H33" s="29" t="n">
        <f aca="false">F33^(1/C33)-1</f>
        <v>0.542941569395491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5.5</v>
      </c>
      <c r="D34" s="5" t="s">
        <v>298</v>
      </c>
      <c r="E34" s="25" t="n">
        <v>90</v>
      </c>
      <c r="F34" s="28" t="n">
        <f aca="false">E34/B12</f>
        <v>14.4</v>
      </c>
      <c r="G34" s="29" t="n">
        <f aca="false">F34-1</f>
        <v>13.4</v>
      </c>
      <c r="H34" s="29" t="n">
        <f aca="false">F34^(1/C34)-1</f>
        <v>0.624094748995135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43.75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6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0.540989091653837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1.2</v>
      </c>
      <c r="C40" s="30" t="n">
        <f aca="false">MAX(G27,F34)</f>
        <v>16.8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6.73076923076923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299</v>
      </c>
    </row>
    <row r="45" customFormat="false" ht="15" hidden="false" customHeight="false" outlineLevel="0" collapsed="false">
      <c r="A45" s="2" t="s">
        <v>300</v>
      </c>
    </row>
    <row r="46" customFormat="false" ht="15" hidden="false" customHeight="false" outlineLevel="0" collapsed="false">
      <c r="A46" s="2" t="s">
        <v>301</v>
      </c>
    </row>
    <row r="47" customFormat="false" ht="15" hidden="false" customHeight="false" outlineLevel="0" collapsed="false">
      <c r="A47" s="2" t="s">
        <v>302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12" t="s">
        <v>60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61</v>
      </c>
    </row>
    <row r="6" customFormat="false" ht="15" hidden="false" customHeight="false" outlineLevel="0" collapsed="false">
      <c r="A6" s="14" t="s">
        <v>101</v>
      </c>
      <c r="B6" s="15" t="n">
        <v>126</v>
      </c>
    </row>
    <row r="7" customFormat="false" ht="15" hidden="false" customHeight="false" outlineLevel="0" collapsed="false">
      <c r="A7" s="14" t="s">
        <v>102</v>
      </c>
      <c r="B7" s="15" t="n">
        <v>126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136</v>
      </c>
    </row>
    <row r="11" customFormat="false" ht="15" hidden="false" customHeight="false" outlineLevel="0" collapsed="false">
      <c r="A11" s="14" t="s">
        <v>106</v>
      </c>
      <c r="B11" s="15" t="n">
        <v>145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140.5</v>
      </c>
    </row>
    <row r="13" customFormat="false" ht="42" hidden="false" customHeight="true" outlineLevel="0" collapsed="false">
      <c r="A13" s="14" t="s">
        <v>108</v>
      </c>
      <c r="B13" s="18" t="s">
        <v>303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304</v>
      </c>
      <c r="B17" s="21" t="n">
        <v>2.8</v>
      </c>
      <c r="C17" s="22" t="s">
        <v>305</v>
      </c>
    </row>
    <row r="18" customFormat="false" ht="15" hidden="false" customHeight="false" outlineLevel="0" collapsed="false">
      <c r="A18" s="20" t="s">
        <v>153</v>
      </c>
      <c r="B18" s="21" t="n">
        <v>15.2</v>
      </c>
      <c r="C18" s="22" t="s">
        <v>306</v>
      </c>
    </row>
    <row r="19" customFormat="false" ht="15" hidden="false" customHeight="false" outlineLevel="0" collapsed="false">
      <c r="A19" s="20" t="s">
        <v>307</v>
      </c>
      <c r="B19" s="21" t="n">
        <v>0.9</v>
      </c>
      <c r="C19" s="22" t="s">
        <v>308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2.5</v>
      </c>
      <c r="D25" s="25" t="n">
        <v>5</v>
      </c>
      <c r="E25" s="26" t="n">
        <v>25</v>
      </c>
      <c r="F25" s="27" t="n">
        <f aca="false">D25*E25</f>
        <v>125</v>
      </c>
      <c r="G25" s="28" t="n">
        <f aca="false">F25/B12</f>
        <v>0.889679715302491</v>
      </c>
      <c r="H25" s="29" t="n">
        <f aca="false">G25-1</f>
        <v>-0.110320284697509</v>
      </c>
      <c r="I25" s="29" t="n">
        <f aca="false">G25^(1/C25)-1</f>
        <v>-0.0456812087220062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14</v>
      </c>
      <c r="E26" s="26" t="n">
        <v>20</v>
      </c>
      <c r="F26" s="27" t="n">
        <f aca="false">D26*E26</f>
        <v>280</v>
      </c>
      <c r="G26" s="28" t="n">
        <f aca="false">F26/B12</f>
        <v>1.99288256227758</v>
      </c>
      <c r="H26" s="29" t="n">
        <f aca="false">G26-1</f>
        <v>0.99288256227758</v>
      </c>
      <c r="I26" s="29" t="n">
        <f aca="false">G26^(1/C26)-1</f>
        <v>0.217772610845543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30</v>
      </c>
      <c r="E27" s="26" t="n">
        <v>22</v>
      </c>
      <c r="F27" s="27" t="n">
        <f aca="false">D27*E27</f>
        <v>660</v>
      </c>
      <c r="G27" s="28" t="n">
        <f aca="false">F27/B12</f>
        <v>4.69750889679715</v>
      </c>
      <c r="H27" s="29" t="n">
        <f aca="false">G27-1</f>
        <v>3.69750889679715</v>
      </c>
      <c r="I27" s="29" t="n">
        <f aca="false">G27^(1/C27)-1</f>
        <v>0.410275345515255</v>
      </c>
    </row>
    <row r="28" customFormat="false" ht="30" hidden="false" customHeight="true" outlineLevel="0" collapsed="false">
      <c r="A28" s="18" t="s">
        <v>309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35.05" hidden="false" customHeight="false" outlineLevel="0" collapsed="false">
      <c r="A32" s="20" t="s">
        <v>131</v>
      </c>
      <c r="B32" s="23" t="s">
        <v>163</v>
      </c>
      <c r="C32" s="24" t="n">
        <v>2.5</v>
      </c>
      <c r="D32" s="5" t="s">
        <v>310</v>
      </c>
      <c r="E32" s="25" t="n">
        <v>150</v>
      </c>
      <c r="F32" s="28" t="n">
        <f aca="false">E32/B12</f>
        <v>1.06761565836299</v>
      </c>
      <c r="G32" s="29" t="n">
        <f aca="false">F32-1</f>
        <v>0.0676156583629892</v>
      </c>
      <c r="H32" s="29" t="n">
        <f aca="false">F32^(1/C32)-1</f>
        <v>0.0265165931495233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311</v>
      </c>
      <c r="E33" s="25" t="n">
        <v>340</v>
      </c>
      <c r="F33" s="28" t="n">
        <f aca="false">E33/B12</f>
        <v>2.41992882562278</v>
      </c>
      <c r="G33" s="29" t="n">
        <f aca="false">F33-1</f>
        <v>1.41992882562278</v>
      </c>
      <c r="H33" s="29" t="n">
        <f aca="false">F33^(1/C33)-1</f>
        <v>0.287235130153444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312</v>
      </c>
      <c r="E34" s="25" t="n">
        <v>700</v>
      </c>
      <c r="F34" s="28" t="n">
        <f aca="false">E34/B12</f>
        <v>4.98220640569395</v>
      </c>
      <c r="G34" s="29" t="n">
        <f aca="false">F34-1</f>
        <v>3.98220640569395</v>
      </c>
      <c r="H34" s="29" t="n">
        <f aca="false">F34^(1/C34)-1</f>
        <v>0.428836722581161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310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2.20640569395018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1.20640569395018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0.253706333606649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0.889679715302491</v>
      </c>
      <c r="C40" s="30" t="n">
        <f aca="false">MAX(G27,F34)</f>
        <v>4.98220640569395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2.13793103448276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313</v>
      </c>
    </row>
    <row r="45" customFormat="false" ht="15" hidden="false" customHeight="false" outlineLevel="0" collapsed="false">
      <c r="A45" s="2" t="s">
        <v>314</v>
      </c>
    </row>
    <row r="46" customFormat="false" ht="15" hidden="false" customHeight="false" outlineLevel="0" collapsed="false">
      <c r="A46" s="2" t="s">
        <v>315</v>
      </c>
    </row>
    <row r="47" customFormat="false" ht="15" hidden="false" customHeight="false" outlineLevel="0" collapsed="false">
      <c r="A47" s="2" t="s">
        <v>316</v>
      </c>
    </row>
    <row r="48" customFormat="false" ht="15" hidden="false" customHeight="false" outlineLevel="0" collapsed="false">
      <c r="A48" s="2" t="s">
        <v>317</v>
      </c>
    </row>
    <row r="49" customFormat="false" ht="15" hidden="false" customHeight="false" outlineLevel="0" collapsed="false">
      <c r="A49" s="2" t="s">
        <v>318</v>
      </c>
    </row>
    <row r="50" customFormat="false" ht="15" hidden="false" customHeight="false" outlineLevel="0" collapsed="false">
      <c r="A50" s="2" t="s">
        <v>319</v>
      </c>
    </row>
    <row r="51" customFormat="false" ht="15" hidden="false" customHeight="false" outlineLevel="0" collapsed="false">
      <c r="A51" s="2" t="s">
        <v>320</v>
      </c>
    </row>
    <row r="52" customFormat="false" ht="15" hidden="false" customHeight="false" outlineLevel="0" collapsed="false">
      <c r="A52" s="2" t="s">
        <v>321</v>
      </c>
    </row>
    <row r="53" customFormat="false" ht="15" hidden="false" customHeight="false" outlineLevel="0" collapsed="false">
      <c r="A53" s="2" t="s">
        <v>322</v>
      </c>
    </row>
    <row r="54" customFormat="false" ht="15" hidden="false" customHeight="false" outlineLevel="0" collapsed="false">
      <c r="A54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12" t="s">
        <v>64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65</v>
      </c>
    </row>
    <row r="6" customFormat="false" ht="15" hidden="false" customHeight="false" outlineLevel="0" collapsed="false">
      <c r="A6" s="14" t="s">
        <v>101</v>
      </c>
      <c r="B6" s="15" t="n">
        <v>5</v>
      </c>
    </row>
    <row r="7" customFormat="false" ht="15" hidden="false" customHeight="false" outlineLevel="0" collapsed="false">
      <c r="A7" s="14" t="s">
        <v>102</v>
      </c>
      <c r="B7" s="15" t="n">
        <v>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5.4</v>
      </c>
    </row>
    <row r="11" customFormat="false" ht="15" hidden="false" customHeight="false" outlineLevel="0" collapsed="false">
      <c r="A11" s="14" t="s">
        <v>106</v>
      </c>
      <c r="B11" s="15" t="n">
        <v>5.75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5.575</v>
      </c>
    </row>
    <row r="13" customFormat="false" ht="42" hidden="false" customHeight="true" outlineLevel="0" collapsed="false">
      <c r="A13" s="14" t="s">
        <v>108</v>
      </c>
      <c r="B13" s="18" t="s">
        <v>323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324</v>
      </c>
      <c r="B17" s="21" t="n">
        <v>8.5</v>
      </c>
      <c r="C17" s="22" t="s">
        <v>325</v>
      </c>
    </row>
    <row r="18" customFormat="false" ht="15" hidden="false" customHeight="false" outlineLevel="0" collapsed="false">
      <c r="A18" s="20" t="s">
        <v>326</v>
      </c>
      <c r="B18" s="21" t="n">
        <v>2.1</v>
      </c>
      <c r="C18" s="22" t="s">
        <v>327</v>
      </c>
    </row>
    <row r="19" customFormat="false" ht="15" hidden="false" customHeight="false" outlineLevel="0" collapsed="false">
      <c r="A19" s="20" t="s">
        <v>328</v>
      </c>
      <c r="B19" s="21" t="n">
        <v>1.3</v>
      </c>
      <c r="C19" s="22" t="s">
        <v>329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2.5</v>
      </c>
      <c r="D25" s="25" t="n">
        <v>1</v>
      </c>
      <c r="E25" s="26" t="n">
        <v>4</v>
      </c>
      <c r="F25" s="27" t="n">
        <f aca="false">D25*E25</f>
        <v>4</v>
      </c>
      <c r="G25" s="28" t="n">
        <f aca="false">F25/B12</f>
        <v>0.717488789237668</v>
      </c>
      <c r="H25" s="29" t="n">
        <f aca="false">G25-1</f>
        <v>-0.282511210762332</v>
      </c>
      <c r="I25" s="29" t="n">
        <f aca="false">G25^(1/C25)-1</f>
        <v>-0.124359081517876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1.6</v>
      </c>
      <c r="E26" s="26" t="n">
        <v>7</v>
      </c>
      <c r="F26" s="27" t="n">
        <f aca="false">D26*E26</f>
        <v>11.2</v>
      </c>
      <c r="G26" s="28" t="n">
        <f aca="false">F26/B12</f>
        <v>2.00896860986547</v>
      </c>
      <c r="H26" s="29" t="n">
        <f aca="false">G26-1</f>
        <v>1.00896860986547</v>
      </c>
      <c r="I26" s="29" t="n">
        <f aca="false">G26^(1/C26)-1</f>
        <v>0.220572996095137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2.6</v>
      </c>
      <c r="E27" s="26" t="n">
        <v>9</v>
      </c>
      <c r="F27" s="27" t="n">
        <f aca="false">D27*E27</f>
        <v>23.4</v>
      </c>
      <c r="G27" s="28" t="n">
        <f aca="false">F27/B12</f>
        <v>4.19730941704036</v>
      </c>
      <c r="H27" s="29" t="n">
        <f aca="false">G27-1</f>
        <v>3.19730941704036</v>
      </c>
      <c r="I27" s="29" t="n">
        <f aca="false">G27^(1/C27)-1</f>
        <v>0.375428429644104</v>
      </c>
    </row>
    <row r="28" customFormat="false" ht="30" hidden="false" customHeight="true" outlineLevel="0" collapsed="false">
      <c r="A28" s="18" t="s">
        <v>330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163</v>
      </c>
      <c r="C32" s="24" t="n">
        <v>2.5</v>
      </c>
      <c r="D32" s="5" t="s">
        <v>331</v>
      </c>
      <c r="E32" s="25" t="n">
        <v>5</v>
      </c>
      <c r="F32" s="28" t="n">
        <f aca="false">E32/B12</f>
        <v>0.896860986547085</v>
      </c>
      <c r="G32" s="29" t="n">
        <f aca="false">F32-1</f>
        <v>-0.103139013452915</v>
      </c>
      <c r="H32" s="29" t="n">
        <f aca="false">F32^(1/C32)-1</f>
        <v>-0.0426074293387878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332</v>
      </c>
      <c r="E33" s="25" t="n">
        <v>14.5</v>
      </c>
      <c r="F33" s="28" t="n">
        <f aca="false">E33/B12</f>
        <v>2.60089686098655</v>
      </c>
      <c r="G33" s="29" t="n">
        <f aca="false">F33-1</f>
        <v>1.60089686098655</v>
      </c>
      <c r="H33" s="29" t="n">
        <f aca="false">F33^(1/C33)-1</f>
        <v>0.314034018722216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333</v>
      </c>
      <c r="E34" s="25" t="n">
        <v>26</v>
      </c>
      <c r="F34" s="28" t="n">
        <f aca="false">E34/B12</f>
        <v>4.66367713004484</v>
      </c>
      <c r="G34" s="29" t="n">
        <f aca="false">F34-1</f>
        <v>3.66367713004484</v>
      </c>
      <c r="H34" s="29" t="n">
        <f aca="false">F34^(1/C34)-1</f>
        <v>0.408011908871801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12.85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2.30493273542601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1.30493273542601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0.269453053461715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0.717488789237668</v>
      </c>
      <c r="C40" s="30" t="n">
        <f aca="false">MAX(G27,F34)</f>
        <v>4.66367713004484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2.23478260869565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334</v>
      </c>
    </row>
    <row r="45" customFormat="false" ht="15" hidden="false" customHeight="false" outlineLevel="0" collapsed="false">
      <c r="A45" s="2" t="s">
        <v>335</v>
      </c>
    </row>
    <row r="46" customFormat="false" ht="15" hidden="false" customHeight="false" outlineLevel="0" collapsed="false">
      <c r="A46" s="2" t="s">
        <v>336</v>
      </c>
    </row>
    <row r="47" customFormat="false" ht="15" hidden="false" customHeight="false" outlineLevel="0" collapsed="false">
      <c r="A47" s="2" t="s">
        <v>337</v>
      </c>
    </row>
    <row r="48" customFormat="false" ht="15" hidden="false" customHeight="false" outlineLevel="0" collapsed="false">
      <c r="A48" s="2" t="s">
        <v>338</v>
      </c>
    </row>
    <row r="49" customFormat="false" ht="15" hidden="false" customHeight="false" outlineLevel="0" collapsed="false">
      <c r="A49" s="2" t="s">
        <v>339</v>
      </c>
    </row>
    <row r="50" customFormat="false" ht="15" hidden="false" customHeight="false" outlineLevel="0" collapsed="false">
      <c r="A50" s="2" t="s">
        <v>340</v>
      </c>
    </row>
    <row r="51" customFormat="false" ht="15" hidden="false" customHeight="false" outlineLevel="0" collapsed="false">
      <c r="A51" s="2" t="s">
        <v>341</v>
      </c>
    </row>
    <row r="52" customFormat="false" ht="15" hidden="false" customHeight="false" outlineLevel="0" collapsed="false">
      <c r="A52" s="2" t="s">
        <v>342</v>
      </c>
    </row>
    <row r="53" customFormat="false" ht="15" hidden="false" customHeight="false" outlineLevel="0" collapsed="false">
      <c r="A53" s="2" t="s">
        <v>343</v>
      </c>
    </row>
    <row r="54" customFormat="false" ht="15" hidden="false" customHeight="false" outlineLevel="0" collapsed="false">
      <c r="A54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12" t="s">
        <v>68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69</v>
      </c>
    </row>
    <row r="6" customFormat="false" ht="15" hidden="false" customHeight="false" outlineLevel="0" collapsed="false">
      <c r="A6" s="14" t="s">
        <v>101</v>
      </c>
      <c r="B6" s="15" t="n">
        <v>35</v>
      </c>
    </row>
    <row r="7" customFormat="false" ht="15" hidden="false" customHeight="false" outlineLevel="0" collapsed="false">
      <c r="A7" s="14" t="s">
        <v>102</v>
      </c>
      <c r="B7" s="15" t="n">
        <v>35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38</v>
      </c>
    </row>
    <row r="11" customFormat="false" ht="15" hidden="false" customHeight="false" outlineLevel="0" collapsed="false">
      <c r="A11" s="14" t="s">
        <v>106</v>
      </c>
      <c r="B11" s="15" t="n">
        <v>42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40</v>
      </c>
    </row>
    <row r="13" customFormat="false" ht="42" hidden="false" customHeight="true" outlineLevel="0" collapsed="false">
      <c r="A13" s="14" t="s">
        <v>108</v>
      </c>
      <c r="B13" s="18" t="s">
        <v>344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345</v>
      </c>
      <c r="B17" s="21" t="n">
        <v>15</v>
      </c>
      <c r="C17" s="22" t="s">
        <v>346</v>
      </c>
    </row>
    <row r="18" customFormat="false" ht="15" hidden="false" customHeight="false" outlineLevel="0" collapsed="false">
      <c r="A18" s="20" t="s">
        <v>17</v>
      </c>
      <c r="B18" s="21" t="n">
        <v>21</v>
      </c>
      <c r="C18" s="22" t="s">
        <v>346</v>
      </c>
    </row>
    <row r="19" customFormat="false" ht="15" hidden="false" customHeight="false" outlineLevel="0" collapsed="false">
      <c r="A19" s="20" t="s">
        <v>347</v>
      </c>
      <c r="B19" s="21" t="n">
        <v>0</v>
      </c>
      <c r="C19" s="22" t="s">
        <v>348</v>
      </c>
    </row>
    <row r="20" customFormat="false" ht="15" hidden="false" customHeight="false" outlineLevel="0" collapsed="false">
      <c r="A20" s="20" t="s">
        <v>349</v>
      </c>
      <c r="B20" s="21" t="n">
        <v>0</v>
      </c>
      <c r="C20" s="22" t="s">
        <v>350</v>
      </c>
    </row>
    <row r="21" customFormat="false" ht="15" hidden="false" customHeight="false" outlineLevel="0" collapsed="false">
      <c r="A21" s="20" t="s">
        <v>351</v>
      </c>
      <c r="B21" s="21" t="n">
        <v>1.9</v>
      </c>
      <c r="C21" s="22" t="s">
        <v>352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132</v>
      </c>
      <c r="C25" s="24" t="n">
        <v>1</v>
      </c>
      <c r="D25" s="25" t="n">
        <v>0.6</v>
      </c>
      <c r="E25" s="26" t="n">
        <v>45</v>
      </c>
      <c r="F25" s="27" t="n">
        <f aca="false">D25*E25</f>
        <v>27</v>
      </c>
      <c r="G25" s="28" t="n">
        <f aca="false">F25/B12</f>
        <v>0.675</v>
      </c>
      <c r="H25" s="29" t="n">
        <f aca="false">G25-1</f>
        <v>-0.325</v>
      </c>
      <c r="I25" s="29" t="n">
        <f aca="false">G25^(1/C25)-1</f>
        <v>-0.325</v>
      </c>
    </row>
    <row r="26" customFormat="false" ht="15" hidden="false" customHeight="false" outlineLevel="0" collapsed="false">
      <c r="A26" s="20" t="s">
        <v>133</v>
      </c>
      <c r="B26" s="23" t="s">
        <v>132</v>
      </c>
      <c r="C26" s="24" t="n">
        <v>1.5</v>
      </c>
      <c r="D26" s="25" t="n">
        <v>1.2</v>
      </c>
      <c r="E26" s="26" t="n">
        <v>70</v>
      </c>
      <c r="F26" s="27" t="n">
        <f aca="false">D26*E26</f>
        <v>84</v>
      </c>
      <c r="G26" s="28" t="n">
        <f aca="false">F26/B12</f>
        <v>2.1</v>
      </c>
      <c r="H26" s="29" t="n">
        <f aca="false">G26-1</f>
        <v>1.1</v>
      </c>
      <c r="I26" s="29" t="n">
        <f aca="false">G26^(1/C26)-1</f>
        <v>0.639882997800068</v>
      </c>
    </row>
    <row r="27" customFormat="false" ht="15" hidden="false" customHeight="false" outlineLevel="0" collapsed="false">
      <c r="A27" s="20" t="s">
        <v>134</v>
      </c>
      <c r="B27" s="23" t="s">
        <v>135</v>
      </c>
      <c r="C27" s="24" t="n">
        <v>2.5</v>
      </c>
      <c r="D27" s="25" t="n">
        <v>2.5</v>
      </c>
      <c r="E27" s="26" t="n">
        <v>80</v>
      </c>
      <c r="F27" s="27" t="n">
        <f aca="false">D27*E27</f>
        <v>200</v>
      </c>
      <c r="G27" s="28" t="n">
        <f aca="false">F27/B12</f>
        <v>5</v>
      </c>
      <c r="H27" s="29" t="n">
        <f aca="false">G27-1</f>
        <v>4</v>
      </c>
      <c r="I27" s="29" t="n">
        <f aca="false">G27^(1/C27)-1</f>
        <v>0.903653938715879</v>
      </c>
    </row>
    <row r="28" customFormat="false" ht="30" hidden="false" customHeight="true" outlineLevel="0" collapsed="false">
      <c r="A28" s="18" t="s">
        <v>353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132</v>
      </c>
      <c r="C32" s="24" t="n">
        <v>1</v>
      </c>
      <c r="D32" s="5" t="s">
        <v>354</v>
      </c>
      <c r="E32" s="25" t="n">
        <v>30</v>
      </c>
      <c r="F32" s="28" t="n">
        <f aca="false">E32/B12</f>
        <v>0.75</v>
      </c>
      <c r="G32" s="29" t="n">
        <f aca="false">F32-1</f>
        <v>-0.25</v>
      </c>
      <c r="H32" s="29" t="n">
        <f aca="false">F32^(1/C32)-1</f>
        <v>-0.25</v>
      </c>
    </row>
    <row r="33" customFormat="false" ht="23.85" hidden="false" customHeight="false" outlineLevel="0" collapsed="false">
      <c r="A33" s="20" t="s">
        <v>133</v>
      </c>
      <c r="B33" s="23" t="s">
        <v>132</v>
      </c>
      <c r="C33" s="24" t="n">
        <v>1.5</v>
      </c>
      <c r="D33" s="5" t="s">
        <v>355</v>
      </c>
      <c r="E33" s="25" t="n">
        <v>92</v>
      </c>
      <c r="F33" s="28" t="n">
        <f aca="false">E33/B12</f>
        <v>2.3</v>
      </c>
      <c r="G33" s="29" t="n">
        <f aca="false">F33-1</f>
        <v>1.3</v>
      </c>
      <c r="H33" s="29" t="n">
        <f aca="false">F33^(1/C33)-1</f>
        <v>0.742416161578685</v>
      </c>
    </row>
    <row r="34" customFormat="false" ht="15" hidden="false" customHeight="false" outlineLevel="0" collapsed="false">
      <c r="A34" s="20" t="s">
        <v>134</v>
      </c>
      <c r="B34" s="23" t="s">
        <v>135</v>
      </c>
      <c r="C34" s="24" t="n">
        <v>2.5</v>
      </c>
      <c r="D34" s="5" t="s">
        <v>356</v>
      </c>
      <c r="E34" s="25" t="n">
        <v>210</v>
      </c>
      <c r="F34" s="28" t="n">
        <f aca="false">E34/B12</f>
        <v>5.25</v>
      </c>
      <c r="G34" s="29" t="n">
        <f aca="false">F34-1</f>
        <v>4.25</v>
      </c>
      <c r="H34" s="29" t="n">
        <f aca="false">F34^(1/C34)-1</f>
        <v>0.941170672751477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88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0.691538111622984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0.675</v>
      </c>
      <c r="C40" s="30" t="n">
        <f aca="false">MAX(G27,F34)</f>
        <v>5.25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2.0952380952381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357</v>
      </c>
    </row>
    <row r="45" customFormat="false" ht="15" hidden="false" customHeight="false" outlineLevel="0" collapsed="false">
      <c r="A45" s="2" t="s">
        <v>358</v>
      </c>
    </row>
    <row r="46" customFormat="false" ht="15" hidden="false" customHeight="false" outlineLevel="0" collapsed="false">
      <c r="A46" s="2" t="s">
        <v>359</v>
      </c>
    </row>
    <row r="47" customFormat="false" ht="15" hidden="false" customHeight="false" outlineLevel="0" collapsed="false">
      <c r="A47" s="2" t="s">
        <v>360</v>
      </c>
    </row>
    <row r="48" customFormat="false" ht="15" hidden="false" customHeight="false" outlineLevel="0" collapsed="false">
      <c r="A48" s="2" t="s">
        <v>361</v>
      </c>
    </row>
    <row r="49" customFormat="false" ht="15" hidden="false" customHeight="false" outlineLevel="0" collapsed="false">
      <c r="A49" s="2" t="s">
        <v>362</v>
      </c>
    </row>
    <row r="50" customFormat="false" ht="15" hidden="false" customHeight="false" outlineLevel="0" collapsed="false">
      <c r="A50" s="2" t="s">
        <v>363</v>
      </c>
    </row>
    <row r="51" customFormat="false" ht="15" hidden="false" customHeight="false" outlineLevel="0" collapsed="false">
      <c r="A51" s="2" t="s">
        <v>364</v>
      </c>
    </row>
    <row r="52" customFormat="false" ht="15" hidden="false" customHeight="false" outlineLevel="0" collapsed="false">
      <c r="A52" s="2" t="s">
        <v>365</v>
      </c>
    </row>
    <row r="53" customFormat="false" ht="15" hidden="false" customHeight="false" outlineLevel="0" collapsed="false">
      <c r="A53" s="2" t="s">
        <v>366</v>
      </c>
    </row>
    <row r="54" customFormat="false" ht="15" hidden="false" customHeight="false" outlineLevel="0" collapsed="false">
      <c r="A54" s="2" t="s">
        <v>367</v>
      </c>
    </row>
    <row r="55" customFormat="false" ht="15" hidden="false" customHeight="false" outlineLevel="0" collapsed="false">
      <c r="A55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12" t="s">
        <v>72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73</v>
      </c>
    </row>
    <row r="6" customFormat="false" ht="15" hidden="false" customHeight="false" outlineLevel="0" collapsed="false">
      <c r="A6" s="14" t="s">
        <v>101</v>
      </c>
      <c r="B6" s="15" t="n">
        <v>5.4</v>
      </c>
    </row>
    <row r="7" customFormat="false" ht="15" hidden="false" customHeight="false" outlineLevel="0" collapsed="false">
      <c r="A7" s="14" t="s">
        <v>102</v>
      </c>
      <c r="B7" s="15" t="n">
        <v>5.4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5.85</v>
      </c>
    </row>
    <row r="11" customFormat="false" ht="15" hidden="false" customHeight="false" outlineLevel="0" collapsed="false">
      <c r="A11" s="14" t="s">
        <v>106</v>
      </c>
      <c r="B11" s="15" t="n">
        <v>6.2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6.025</v>
      </c>
    </row>
    <row r="13" customFormat="false" ht="42" hidden="false" customHeight="true" outlineLevel="0" collapsed="false">
      <c r="A13" s="14" t="s">
        <v>108</v>
      </c>
      <c r="B13" s="18" t="s">
        <v>368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369</v>
      </c>
      <c r="B17" s="21" t="n">
        <v>40</v>
      </c>
      <c r="C17" s="22" t="s">
        <v>370</v>
      </c>
    </row>
    <row r="18" customFormat="false" ht="15" hidden="false" customHeight="false" outlineLevel="0" collapsed="false">
      <c r="A18" s="20" t="s">
        <v>371</v>
      </c>
      <c r="B18" s="21" t="n">
        <v>33</v>
      </c>
      <c r="C18" s="22" t="s">
        <v>372</v>
      </c>
    </row>
    <row r="19" customFormat="false" ht="15" hidden="false" customHeight="false" outlineLevel="0" collapsed="false">
      <c r="A19" s="20" t="s">
        <v>373</v>
      </c>
      <c r="B19" s="21" t="n">
        <v>26.7</v>
      </c>
      <c r="C19" s="22" t="s">
        <v>346</v>
      </c>
    </row>
    <row r="20" customFormat="false" ht="15" hidden="false" customHeight="false" outlineLevel="0" collapsed="false">
      <c r="A20" s="20" t="s">
        <v>374</v>
      </c>
      <c r="B20" s="21" t="n">
        <v>17.7</v>
      </c>
      <c r="C20" s="22" t="s">
        <v>346</v>
      </c>
    </row>
    <row r="21" customFormat="false" ht="15" hidden="false" customHeight="false" outlineLevel="0" collapsed="false">
      <c r="A21" s="20" t="s">
        <v>375</v>
      </c>
      <c r="B21" s="21" t="n">
        <v>7.7</v>
      </c>
      <c r="C21" s="22" t="s">
        <v>376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1.5</v>
      </c>
      <c r="D25" s="25" t="n">
        <v>0.3</v>
      </c>
      <c r="E25" s="26" t="n">
        <v>10</v>
      </c>
      <c r="F25" s="27" t="n">
        <f aca="false">D25*E25</f>
        <v>3</v>
      </c>
      <c r="G25" s="28" t="n">
        <f aca="false">F25/B12</f>
        <v>0.497925311203319</v>
      </c>
      <c r="H25" s="29" t="n">
        <f aca="false">G25-1</f>
        <v>-0.502074688796681</v>
      </c>
      <c r="I25" s="29" t="n">
        <f aca="false">G25^(1/C25)-1</f>
        <v>-0.371783311809605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0.75</v>
      </c>
      <c r="E26" s="26" t="n">
        <v>20</v>
      </c>
      <c r="F26" s="27" t="n">
        <f aca="false">D26*E26</f>
        <v>15</v>
      </c>
      <c r="G26" s="28" t="n">
        <f aca="false">F26/B12</f>
        <v>2.4896265560166</v>
      </c>
      <c r="H26" s="29" t="n">
        <f aca="false">G26-1</f>
        <v>1.4896265560166</v>
      </c>
      <c r="I26" s="29" t="n">
        <f aca="false">G26^(1/C26)-1</f>
        <v>0.440302395893987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1.6</v>
      </c>
      <c r="E27" s="26" t="n">
        <v>25</v>
      </c>
      <c r="F27" s="27" t="n">
        <f aca="false">D27*E27</f>
        <v>40</v>
      </c>
      <c r="G27" s="28" t="n">
        <f aca="false">F27/B12</f>
        <v>6.63900414937759</v>
      </c>
      <c r="H27" s="29" t="n">
        <f aca="false">G27-1</f>
        <v>5.63900414937759</v>
      </c>
      <c r="I27" s="29" t="n">
        <f aca="false">G27^(1/C27)-1</f>
        <v>0.717459696556446</v>
      </c>
    </row>
    <row r="28" customFormat="false" ht="30" hidden="false" customHeight="true" outlineLevel="0" collapsed="false">
      <c r="A28" s="18" t="s">
        <v>377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1.5</v>
      </c>
      <c r="D32" s="5" t="s">
        <v>378</v>
      </c>
      <c r="E32" s="25" t="n">
        <v>3.5</v>
      </c>
      <c r="F32" s="28" t="n">
        <f aca="false">E32/B12</f>
        <v>0.580912863070539</v>
      </c>
      <c r="G32" s="29" t="n">
        <f aca="false">F32-1</f>
        <v>-0.419087136929461</v>
      </c>
      <c r="H32" s="29" t="n">
        <f aca="false">F32^(1/C32)-1</f>
        <v>-0.303789350599289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379</v>
      </c>
      <c r="E33" s="25" t="n">
        <v>16.3</v>
      </c>
      <c r="F33" s="28" t="n">
        <f aca="false">E33/B12</f>
        <v>2.70539419087137</v>
      </c>
      <c r="G33" s="29" t="n">
        <f aca="false">F33-1</f>
        <v>1.70539419087137</v>
      </c>
      <c r="H33" s="29" t="n">
        <f aca="false">F33^(1/C33)-1</f>
        <v>0.488991509258602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380</v>
      </c>
      <c r="E34" s="25" t="n">
        <v>45</v>
      </c>
      <c r="F34" s="28" t="n">
        <f aca="false">E34/B12</f>
        <v>7.46887966804979</v>
      </c>
      <c r="G34" s="29" t="n">
        <f aca="false">F34-1</f>
        <v>6.46887966804979</v>
      </c>
      <c r="H34" s="29" t="n">
        <f aca="false">F34^(1/C34)-1</f>
        <v>0.776239651542579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15.65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2.59751037344398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1.59751037344398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0.464950385062174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0.497925311203319</v>
      </c>
      <c r="C40" s="30" t="n">
        <f aca="false">MAX(G27,F34)</f>
        <v>7.46887966804979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2.5241935483871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381</v>
      </c>
    </row>
    <row r="45" customFormat="false" ht="15" hidden="false" customHeight="false" outlineLevel="0" collapsed="false">
      <c r="A45" s="2" t="s">
        <v>382</v>
      </c>
    </row>
    <row r="46" customFormat="false" ht="15" hidden="false" customHeight="false" outlineLevel="0" collapsed="false">
      <c r="A46" s="2" t="s">
        <v>383</v>
      </c>
    </row>
    <row r="47" customFormat="false" ht="15" hidden="false" customHeight="false" outlineLevel="0" collapsed="false">
      <c r="A47" s="2" t="s">
        <v>384</v>
      </c>
    </row>
    <row r="48" customFormat="false" ht="15" hidden="false" customHeight="false" outlineLevel="0" collapsed="false">
      <c r="A48" s="2" t="s">
        <v>385</v>
      </c>
    </row>
    <row r="49" customFormat="false" ht="15" hidden="false" customHeight="false" outlineLevel="0" collapsed="false">
      <c r="A49" s="2" t="s">
        <v>386</v>
      </c>
    </row>
    <row r="50" customFormat="false" ht="15" hidden="false" customHeight="false" outlineLevel="0" collapsed="false">
      <c r="A50" s="2" t="s">
        <v>387</v>
      </c>
    </row>
    <row r="51" customFormat="false" ht="15" hidden="false" customHeight="false" outlineLevel="0" collapsed="false">
      <c r="A51" s="2" t="s">
        <v>388</v>
      </c>
    </row>
    <row r="52" customFormat="false" ht="15" hidden="false" customHeight="false" outlineLevel="0" collapsed="false">
      <c r="A52" s="2" t="s">
        <v>389</v>
      </c>
    </row>
    <row r="53" customFormat="false" ht="15" hidden="false" customHeight="false" outlineLevel="0" collapsed="false">
      <c r="A53" s="2" t="s">
        <v>390</v>
      </c>
    </row>
    <row r="54" customFormat="false" ht="15" hidden="false" customHeight="false" outlineLevel="0" collapsed="false">
      <c r="A54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12" t="s">
        <v>76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77</v>
      </c>
    </row>
    <row r="6" customFormat="false" ht="15" hidden="false" customHeight="false" outlineLevel="0" collapsed="false">
      <c r="A6" s="14" t="s">
        <v>101</v>
      </c>
      <c r="B6" s="15" t="n">
        <v>5.9</v>
      </c>
    </row>
    <row r="7" customFormat="false" ht="15" hidden="false" customHeight="false" outlineLevel="0" collapsed="false">
      <c r="A7" s="14" t="s">
        <v>102</v>
      </c>
      <c r="B7" s="15" t="n">
        <v>5.9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12</v>
      </c>
    </row>
    <row r="11" customFormat="false" ht="15" hidden="false" customHeight="false" outlineLevel="0" collapsed="false">
      <c r="A11" s="14" t="s">
        <v>106</v>
      </c>
      <c r="B11" s="15" t="n">
        <v>15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13.5</v>
      </c>
    </row>
    <row r="13" customFormat="false" ht="42" hidden="false" customHeight="true" outlineLevel="0" collapsed="false">
      <c r="A13" s="14" t="s">
        <v>108</v>
      </c>
      <c r="B13" s="18" t="s">
        <v>391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392</v>
      </c>
      <c r="B17" s="21" t="n">
        <v>7</v>
      </c>
      <c r="C17" s="22" t="s">
        <v>393</v>
      </c>
    </row>
    <row r="18" customFormat="false" ht="15" hidden="false" customHeight="false" outlineLevel="0" collapsed="false">
      <c r="A18" s="20" t="s">
        <v>394</v>
      </c>
      <c r="B18" s="21" t="n">
        <v>0.74</v>
      </c>
      <c r="C18" s="22" t="s">
        <v>395</v>
      </c>
    </row>
    <row r="19" customFormat="false" ht="15" hidden="false" customHeight="false" outlineLevel="0" collapsed="false">
      <c r="A19" s="20" t="s">
        <v>396</v>
      </c>
      <c r="B19" s="21" t="n">
        <v>8.5</v>
      </c>
      <c r="C19" s="22" t="s">
        <v>397</v>
      </c>
    </row>
    <row r="20" customFormat="false" ht="15" hidden="false" customHeight="false" outlineLevel="0" collapsed="false">
      <c r="A20" s="20" t="s">
        <v>398</v>
      </c>
      <c r="B20" s="21" t="n">
        <v>8.3</v>
      </c>
      <c r="C20" s="22" t="s">
        <v>346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1.5</v>
      </c>
      <c r="D25" s="25" t="n">
        <v>3</v>
      </c>
      <c r="E25" s="26" t="n">
        <v>3</v>
      </c>
      <c r="F25" s="27" t="n">
        <f aca="false">D25*E25</f>
        <v>9</v>
      </c>
      <c r="G25" s="28" t="n">
        <f aca="false">F25/B12</f>
        <v>0.666666666666667</v>
      </c>
      <c r="H25" s="29" t="n">
        <f aca="false">G25-1</f>
        <v>-0.333333333333333</v>
      </c>
      <c r="I25" s="29" t="n">
        <f aca="false">G25^(1/C25)-1</f>
        <v>-0.236857171631112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7</v>
      </c>
      <c r="E26" s="26" t="n">
        <v>5</v>
      </c>
      <c r="F26" s="27" t="n">
        <f aca="false">D26*E26</f>
        <v>35</v>
      </c>
      <c r="G26" s="28" t="n">
        <f aca="false">F26/B12</f>
        <v>2.59259259259259</v>
      </c>
      <c r="H26" s="29" t="n">
        <f aca="false">G26-1</f>
        <v>1.59259259259259</v>
      </c>
      <c r="I26" s="29" t="n">
        <f aca="false">G26^(1/C26)-1</f>
        <v>0.463840337369668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12</v>
      </c>
      <c r="E27" s="26" t="n">
        <v>6.5</v>
      </c>
      <c r="F27" s="27" t="n">
        <f aca="false">D27*E27</f>
        <v>78</v>
      </c>
      <c r="G27" s="28" t="n">
        <f aca="false">F27/B12</f>
        <v>5.77777777777778</v>
      </c>
      <c r="H27" s="29" t="n">
        <f aca="false">G27-1</f>
        <v>4.77777777777778</v>
      </c>
      <c r="I27" s="29" t="n">
        <f aca="false">G27^(1/C27)-1</f>
        <v>0.650615627779178</v>
      </c>
    </row>
    <row r="28" customFormat="false" ht="30" hidden="false" customHeight="true" outlineLevel="0" collapsed="false">
      <c r="A28" s="18" t="s">
        <v>399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1.5</v>
      </c>
      <c r="D32" s="5" t="s">
        <v>400</v>
      </c>
      <c r="E32" s="25" t="n">
        <v>11</v>
      </c>
      <c r="F32" s="28" t="n">
        <f aca="false">E32/B12</f>
        <v>0.814814814814815</v>
      </c>
      <c r="G32" s="29" t="n">
        <f aca="false">F32-1</f>
        <v>-0.185185185185185</v>
      </c>
      <c r="H32" s="29" t="n">
        <f aca="false">F32^(1/C32)-1</f>
        <v>-0.127619509940034</v>
      </c>
    </row>
    <row r="33" customFormat="false" ht="35.0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401</v>
      </c>
      <c r="E33" s="25" t="n">
        <v>39</v>
      </c>
      <c r="F33" s="28" t="n">
        <f aca="false">E33/B12</f>
        <v>2.88888888888889</v>
      </c>
      <c r="G33" s="29" t="n">
        <f aca="false">F33-1</f>
        <v>1.88888888888889</v>
      </c>
      <c r="H33" s="29" t="n">
        <f aca="false">F33^(1/C33)-1</f>
        <v>0.528594650593345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402</v>
      </c>
      <c r="E34" s="25" t="n">
        <v>90</v>
      </c>
      <c r="F34" s="28" t="n">
        <f aca="false">E34/B12</f>
        <v>6.66666666666667</v>
      </c>
      <c r="G34" s="29" t="n">
        <f aca="false">F34-1</f>
        <v>5.66666666666667</v>
      </c>
      <c r="H34" s="29" t="n">
        <f aca="false">F34^(1/C34)-1</f>
        <v>0.719501256105151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37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2.74074074074074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1.74074074074074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0.496742815701976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0.666666666666667</v>
      </c>
      <c r="C40" s="30" t="n">
        <f aca="false">MAX(G27,F34)</f>
        <v>6.66666666666667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2.46666666666667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403</v>
      </c>
    </row>
    <row r="45" customFormat="false" ht="15" hidden="false" customHeight="false" outlineLevel="0" collapsed="false">
      <c r="A45" s="2" t="s">
        <v>404</v>
      </c>
    </row>
    <row r="46" customFormat="false" ht="15" hidden="false" customHeight="false" outlineLevel="0" collapsed="false">
      <c r="A46" s="2" t="s">
        <v>405</v>
      </c>
    </row>
    <row r="47" customFormat="false" ht="15" hidden="false" customHeight="false" outlineLevel="0" collapsed="false">
      <c r="A47" s="2" t="s">
        <v>406</v>
      </c>
    </row>
    <row r="48" customFormat="false" ht="15" hidden="false" customHeight="false" outlineLevel="0" collapsed="false">
      <c r="A48" s="2" t="s">
        <v>407</v>
      </c>
    </row>
    <row r="49" customFormat="false" ht="15" hidden="false" customHeight="false" outlineLevel="0" collapsed="false">
      <c r="A49" s="2" t="s">
        <v>408</v>
      </c>
    </row>
    <row r="50" customFormat="false" ht="15" hidden="false" customHeight="false" outlineLevel="0" collapsed="false">
      <c r="A50" s="2" t="s">
        <v>409</v>
      </c>
    </row>
    <row r="51" customFormat="false" ht="15" hidden="false" customHeight="false" outlineLevel="0" collapsed="false">
      <c r="A51" s="2" t="s">
        <v>410</v>
      </c>
    </row>
    <row r="52" customFormat="false" ht="15" hidden="false" customHeight="false" outlineLevel="0" collapsed="false">
      <c r="A52" s="2" t="s">
        <v>411</v>
      </c>
    </row>
    <row r="53" customFormat="false" ht="15" hidden="false" customHeight="false" outlineLevel="0" collapsed="false">
      <c r="A53" s="2" t="s">
        <v>412</v>
      </c>
    </row>
    <row r="54" customFormat="false" ht="15" hidden="false" customHeight="false" outlineLevel="0" collapsed="false">
      <c r="A54" s="2" t="s">
        <v>413</v>
      </c>
    </row>
    <row r="55" customFormat="false" ht="15" hidden="false" customHeight="false" outlineLevel="0" collapsed="false">
      <c r="A55" s="2" t="s">
        <v>414</v>
      </c>
    </row>
    <row r="56" customFormat="false" ht="15" hidden="false" customHeight="false" outlineLevel="0" collapsed="false">
      <c r="A56" s="2" t="s">
        <v>415</v>
      </c>
    </row>
    <row r="57" customFormat="false" ht="15" hidden="false" customHeight="false" outlineLevel="0" collapsed="false">
      <c r="A5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2026-09-02T13:53:41Z</dcterms:created>
  <dc:creator>openpyxl</dc:creator>
  <dc:description/>
  <dc:language>en-US</dc:language>
  <cp:lastModifiedBy/>
  <dcterms:modified xsi:type="dcterms:W3CDTF">2026-09-02T13:53:41Z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
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  <sheet name="Waymo" sheetId="14" state="visible" r:id="rId16"/>
    <sheet name="Plata" sheetId="15" state="visible" r:id="rId17"/>
    <sheet name="Moonshot AI" sheetId="16" state="visible" r:id="rId18"/>
    <sheet name="Higgsfield" sheetId="17" state="visible" r:id="rId19"/>
    <sheet name="Lambd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<sst xmlns="http://schemas.openxmlformats.org/spreadsheetml/2006/main" count="1322" uniqueCount="416">
  <si>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</si>
  <si>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</si>
  <si>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</si>
  <si>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</si>
  <si>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</si>
  <si>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</si>
  <si>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</si>
  <si>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</si>
  <si>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</si>
  <si>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</si>
  <si>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</si>
  <si>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</si>
  <si>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</si>
  <si>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</si>
  <si>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</si>
  <si>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</si>
  <si>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</si>
  <si>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</si>
  <si>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</si>
  <si>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</si>
  <si>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</si>
  <si>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</si>
  <si>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</si>
  <si>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</si>
  <si>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</si>
  <si>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</si>
  <si>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</si>
  <si>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</si>
  <si>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</si>
  <si>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</si>
  <si>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</si>
  <si>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</si>
  <si>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</si>
  <si>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</si>
  <si>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</si>
  <si>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</si>
  <si>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</si>
  <si>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</si>
  <si>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</si>
  <si>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</si>
  <si>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</si>
  <si>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</si>
  <si>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</si>
  <si>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</si>
  <si>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</si>
  <si>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</si>
  <si>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</si>
  <si>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</si>
  <si>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</si>
  <si>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</si>
  <si>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</si>
  <si>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</si>
  <si>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</si>
  <si>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</si>
  <si>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</si>
  <si>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</si>
  <si>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</si>
  <si>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</si>
  <si>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</si>
  <si>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Waymo</t>
  </si>
  <si>
    <t xml:space="preserve">Беспилотное такси</t>
  </si>
  <si>
    <t xml:space="preserve">Раунд $16 млрд, объявлен 02.02.2026; лиды Dragoneer, DST Global, Sequoia; Alphabet вложила ~$13 млрд</t>
  </si>
  <si>
    <t xml:space="preserve">3–4 года (IPO / спин-офф 2029–30)</t>
  </si>
  <si>
    <t xml:space="preserve">Plata</t>
  </si>
  <si>
    <t xml:space="preserve">Цифровой банк (Мексика)</t>
  </si>
  <si>
    <t xml:space="preserve">Series C $405 млн, анонс 16.04.2026; лид Bicycle Capital, вошли QIA, BTG Pactual, Valor Capital</t>
  </si>
  <si>
    <t xml:space="preserve">3–4 года (IPO 2029–30)</t>
  </si>
  <si>
    <t xml:space="preserve">Moonshot AI</t>
  </si>
  <si>
    <t xml:space="preserve">Генеративный ИИ (Китай)</t>
  </si>
  <si>
    <t xml:space="preserve">Series F более $3.5 млрд, объявлен 29.07.2026; среди лидов — государственный National AI Industry Investment Fund</t>
  </si>
  <si>
    <t xml:space="preserve">1–2 года (IPO Гонконг)</t>
  </si>
  <si>
    <t xml:space="preserve">Higgsfield AI</t>
  </si>
  <si>
    <t xml:space="preserve">ИИ-видео для рекламы</t>
  </si>
  <si>
    <t xml:space="preserve">Series B $400 млн, закрыт 17.08.2026; лид DST Global, вошли Goldman Sachs Alternatives, Intel Capital, Mirae Asset</t>
  </si>
  <si>
    <t xml:space="preserve">2–3 года (IPO / M&amp;A 2029)</t>
  </si>
  <si>
    <t xml:space="preserve">Lambda</t>
  </si>
  <si>
    <t xml:space="preserve">GPU-облако для ИИ</t>
  </si>
  <si>
    <t xml:space="preserve">Series E более $1.5 млрд, закрыт 18.11.2025; лид TWG Global совместно с US Innovative Technology Fund</t>
  </si>
  <si>
    <t xml:space="preserve">2–3 года (IPO 2027)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</si>
  <si>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</si>
  <si>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</si>
  <si>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</si>
  <si>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</si>
  <si>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</si>
  <si>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</si>
  <si>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</si>
  <si>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</si>
  <si>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</si>
  <si>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</si>
  <si>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</si>
  <si>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</si>
  <si>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</si>
  <si>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</si>
  <si>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</si>
  <si>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</si>
  <si>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</si>
  <si>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</si>
  <si>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</si>
  <si>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</si>
  <si>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</si>
  <si>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</si>
  <si>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</si>
  <si>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</si>
  <si>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</si>
  <si>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</si>
  <si>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</si>
  <si>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</si>
  <si>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</si>
  <si>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</si>
  <si>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</si>
  <si>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</si>
  <si>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</si>
  <si>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</si>
  <si>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</si>
  <si>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</si>
  <si>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</si>
  <si>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</si>
  <si>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</si>
  <si>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</si>
  <si>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</si>
  <si>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</si>
  <si>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</si>
  <si>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</si>
  <si>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</si>
  <si>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</si>
  <si>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</si>
  <si>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</si>
  <si>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</si>
  <si>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</si>
  <si>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</si>
  <si>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</si>
  <si>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</si>
  <si>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</si>
  <si>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</si>
  <si>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</si>
  <si>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</si>
  <si>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</si>
  <si>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</si>
  <si>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</si>
  <si>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</si>
  <si>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</si>
  <si>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</si>
  <si>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</si>
  <si>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</si>
  <si>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</si>
  <si>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</si>
  <si>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</si>
  <si>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</si>
  <si>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</si>
  <si>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</si>
  <si>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</si>
  <si>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</si>
  <si>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</si>
  <si>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</si>
  <si>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</si>
  <si>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</si>
  <si>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</si>
  <si>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</si>
  <si>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</si>
  <si>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</si>
  <si>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</si>
  <si>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</si>
  <si>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</si>
  <si>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</si>
  <si>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</si>
  <si>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</si>
  <si>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</si>
  <si>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</si>
  <si>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</si>
  <si>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</si>
  <si>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</si>
  <si>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</si>
  <si>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</si>
  <si>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</si>
  <si>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</si>
  <si>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</si>
  <si>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</si>
  <si>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</si>
  <si>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</si>
  <si>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</si>
  <si>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</si>
  <si>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</si>
  <si>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</si>
  <si>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</si>
  <si>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</si>
  <si>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</si>
  <si>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</si>
  <si>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</si>
  <si>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</si>
  <si>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</si>
  <si>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</si>
  <si>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</si>
  <si>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</si>
  <si>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</si>
  <si>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</si>
  <si>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</si>
  <si>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</si>
  <si>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</si>
  <si>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</si>
  <si>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</si>
  <si>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</si>
  <si>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</si>
  <si>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</si>
  <si>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</si>
  <si>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</si>
  <si>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</si>
  <si>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</si>
  <si>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</si>
  <si>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</si>
  <si>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</si>
  <si>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</si>
  <si>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</si>
  <si>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</si>
  <si>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</si>
  <si>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</si>
  <si>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</si>
  <si>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</si>
  <si>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</si>
  <si>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</si>
  <si>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</si>
  <si>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</si>
  <si>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</si>
  <si>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</si>
  <si>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</si>
  <si>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</si>
  <si>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</si>
  <si>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</si>
  <si>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</si>
  <si>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</si>
  <si>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</si>
  <si>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</si>
  <si>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</si>
  <si>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</si>
  <si>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</si>
  <si>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</si>
  <si>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</si>
  <si>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</si>
  <si>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</si>
  <si>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</si>
  <si>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</si>
  <si>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</si>
  <si>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</si>
  <si>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</si>
  <si>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</si>
  <si>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</si>
  <si>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</si>
  <si>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</si>
  <si>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</si>
  <si>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</si>
  <si>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</si>
  <si>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</si>
  <si>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</si>
  <si>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</si>
  <si>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</si>
  <si>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</si>
  <si>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</si>
  <si>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</si>
  <si>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</si>
  <si>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</si>
  <si>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</si>
  <si>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</si>
  <si>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</si>
  <si>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</si>
  <si>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</si>
  <si>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</si>
  <si>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</si>
  <si>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</si>
  <si>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</si>
  <si>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</si>
  <si>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</si>
  <si>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</si>
  <si>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</si>
  <si>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</si>
  <si>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</si>
  <si>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</si>
  <si>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</si>
  <si>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</si>
  <si>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</si>
  <si>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</si>
  <si>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</si>
  <si>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</si>
  <si>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</si>
  <si>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</si>
  <si>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</si>
  <si>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</si>
  <si>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</si>
  <si>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</si>
  <si>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</si>
  <si>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</si>
  <si>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</si>
  <si>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</si>
  <si>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</si>
  <si>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</si>
  <si>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</si>
  <si>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</si>
  <si>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</si>
  <si>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</si>
  <si>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</si>
  <si>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</si>
  <si>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</si>
  <si>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</si>
  <si>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</si>
  <si>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</si>
  <si>
    <t xml:space="preserve">Диапазон — фактические котировки вторичного рынка. Подтверждённых закрытых сделок вторичного рынка нет: расчётные оценки площадок расходятся в 2.4 раза ($152 / $215 / $364 за акцию). Применена премия 8–15% к оценке раунда.</t>
  </si>
  <si>
    <t xml:space="preserve">Uber</t>
  </si>
  <si>
    <t xml:space="preserve">EV/Revenue при выручке $53.7 млрд TTM</t>
  </si>
  <si>
    <t xml:space="preserve">EV/Revenue, максимум сектора</t>
  </si>
  <si>
    <t xml:space="preserve">Lyft</t>
  </si>
  <si>
    <t xml:space="preserve">EV/Revenue — нижняя граница ride-hailing</t>
  </si>
  <si>
    <t xml:space="preserve">Мультипликатор к текущей выручке к Waymo неприменим: при выручке около $0.4 млрд компания оценена в 250–350x. Метод построен на ПРОГНОЗНОЙ выручке года выхода. Ориентир: ~500 тыс. платных поездок в неделю (март 2026), средний чек около $25 — примерно $0.65 млрд в год; базовый сценарий предполагает рост парка и географии примерно в 20 раз к 2030 году.</t>
  </si>
  <si>
    <t xml:space="preserve">Замедление экспансии после отзывов и расследований, оценка возвращается к уровню раунда 2026 года</t>
  </si>
  <si>
    <t xml:space="preserve">Спин-офф или IPO при доле около 15% рынка ride-hailing США</t>
  </si>
  <si>
    <t xml:space="preserve">Нижняя часть прогноза Deepwater ($350–850 млрд к 2030)</t>
  </si>
  <si>
    <t xml:space="preserve">• Раунд $16 млрд @ $126 млрд post-money, объявлен 02.02.2026; лиды Dragoneer, DST Global, Sequoia. Часть источников (Fortune) даёт заголовок $110 млрд — это pre-money</t>
  </si>
  <si>
    <t xml:space="preserve">• Предыдущий раунд: Series C $5.6 млрд @ $45 млрд, октябрь 2024 — рост в 2.8 раза за 15 месяцев</t>
  </si>
  <si>
    <t xml:space="preserve">• Всего привлечено более $27 млрд; компания сумму официально не раскрывает</t>
  </si>
  <si>
    <t xml:space="preserve">• Около 81% последнего раунда — деньги Alphabet и её структур (CapitalG, GV): оценка $126 млрд установлена не полностью независимым рынком</t>
  </si>
  <si>
    <t xml:space="preserve">• Флот 3 791 автомобиль (регуляторный документ NHTSA); ~500 тыс. платных поездок в неделю (март 2026)</t>
  </si>
  <si>
    <t xml:space="preserve">• Безопасность: исследование Swiss Re на 25.3 млн миль — на 88% меньше претензий по ущербу имуществу, на 92% по травмам</t>
  </si>
  <si>
    <t xml:space="preserve">• Риски: шесть отзывов, три за последние 8 месяцев (май 2026 — весь флот США); открытое расследование NHTSA по школьным автобусам; поездки по фривеям были остановлены с конца мая до 29.07.2026</t>
  </si>
  <si>
    <t xml:space="preserve">• Экономика: убыток сегмента Other Bets $1.8 млрд за Q2 2026 при падении выручки сегмента с $450 до $382 млн</t>
  </si>
  <si>
    <t xml:space="preserve">• IPO: Сундар Пичаи 22.07.2026 подтвердил сохранение Waymo внутри Alphabet. Прогноз спин-оффа за 2–4 года — мнение отдельного управляющего, не консенсус</t>
  </si>
  <si>
    <t xml:space="preserve">• Конкуренция: Baidu Apollo Go более 250 тыс. поездок в неделю; Pony.ai заявила безубыточность юнит-экономики в Гуанчжоу</t>
  </si>
  <si>
    <t xml:space="preserve">Диапазон — фактические котировки вторичного рынка. Публичных котировок нет: компания листингуется на EquityZen и Hiive, но цены за пейволлом. Применена премия 8–15% к оценке раунда. Единственная документированная вторичная сделка прошла внутри Series B по $3.1 млрд.</t>
  </si>
  <si>
    <t xml:space="preserve">Nu Holdings</t>
  </si>
  <si>
    <t xml:space="preserve">P/S — прибыльный аналог, выручка +39% г/г</t>
  </si>
  <si>
    <t xml:space="preserve">Banorte</t>
  </si>
  <si>
    <t xml:space="preserve">P/S — мексиканский банк с отделениями</t>
  </si>
  <si>
    <t xml:space="preserve">Inter&amp;Co</t>
  </si>
  <si>
    <t xml:space="preserve">P/S — нижняя граница для необанка Латинской Америки</t>
  </si>
  <si>
    <t xml:space="preserve">Аннуализированная выручка около $600 млн на кредитном портфеле $800 млн (данные компании, публично не аудированы). Базовый сценарий: рост выручки в 2.7 раза к 2030 году и выход в прибыль, мультипликатор ниже Nubank из-за одного рынка и меньшего масштаба.</t>
  </si>
  <si>
    <t xml:space="preserve">Рост просрочки обгоняет портфель, оценка сжимается к мультипликатору Inter&amp;Co</t>
  </si>
  <si>
    <t xml:space="preserve">IPO по публичному ориентиру основателей (~$10 млрд) с поправкой на достигнутую прибыльность</t>
  </si>
  <si>
    <t xml:space="preserve">Доля рынка карт Мексики уровня Nubank в Бразилии при мультипликаторе 8x</t>
  </si>
  <si>
    <t xml:space="preserve">• Series C $405 млн @ $5.0 млрд post-money, анонс 16.04.2026, лид Bicycle Capital</t>
  </si>
  <si>
    <t xml:space="preserve">• Траектория оценки: $1.5 млрд (03.2025) → $3.1 млрд (10.2025) → $5.0 млрд (04.2026) — рост в 3.3 раза за 13 месяцев</t>
  </si>
  <si>
    <t xml:space="preserve">• Всего привлечено более $2 млрд: акционерного минимум $815 млн, долговая линия до $500 млн под управлением Nomura (декабрь 2025)</t>
  </si>
  <si>
    <t xml:space="preserve">• Третье место в Мексике по числу кредитных карт: более 6.4 млн контрактов (июль 2026), после BBVA (11.8 млн) и Banamex (~10 млн), выше Santander и Banorte</t>
  </si>
  <si>
    <t xml:space="preserve">• Полная лицензия banca multiple — пятый такой игрок; за первый месяц собрано вкладов около MX$3.7 млрд (~$213 млн)</t>
  </si>
  <si>
    <t xml:space="preserve">• РИСК, требующий отдельного внимания: просрочка (IMOR) 6.03% в апреле 2026 против ~3.3% по сегменту карт. Системный фон — просрочка банков Мексики выросла на 14.16% в реальном выражении за 1П2026, максимум за 26 лет</t>
  </si>
  <si>
    <t xml:space="preserve">• Компания НЕ прибыльна: план безубыточности — примерно 2028 год. При этом оценена по 8.3x выручки, почти вровень с прибыльным Nubank (8.5x)</t>
  </si>
  <si>
    <t xml:space="preserve">• Конкуренция: Nu Mexico около 12 млн клиентов и лицензия с апреля 2025; Stori, Klar, Hey Banco, Revolut, Openbank, Mercado Pago</t>
  </si>
  <si>
    <t xml:space="preserve">• IPO официально не заявлено; основатели публично называли ориентир около $10 млрд в среднесрочной перспективе</t>
  </si>
  <si>
    <t xml:space="preserve">• Перед сделкой обязательно запросить квартальную отчётность Banco Plata (prime.platacard.mx): чистый результат, ICAP, стоимость риска</t>
  </si>
  <si>
    <t xml:space="preserve">Диапазон — фактические котировки вторичного рынка. Ликвидного вторичного рынка нет, официальных котировок не существует (Forge показывает оценку $800 млн при реальных $35 млрд). Нижняя граница — премия 8% к закрытому раунду, верхняя отражает идущий pre-IPO раунд по pre-money $50 млрд (финальный клозинг 27.08.2026, уже после даты отсечки).</t>
  </si>
  <si>
    <t xml:space="preserve">Anthropic</t>
  </si>
  <si>
    <t xml:space="preserve">оценка / выручка</t>
  </si>
  <si>
    <t xml:space="preserve">Zhipu AI</t>
  </si>
  <si>
    <t xml:space="preserve">листинг HKEX, оценка ~$112 млрд</t>
  </si>
  <si>
    <t xml:space="preserve">MiniMax</t>
  </si>
  <si>
    <t xml:space="preserve">листинг HKEX, оценка ~$33 млрд</t>
  </si>
  <si>
    <t xml:space="preserve">Baidu</t>
  </si>
  <si>
    <t xml:space="preserve">P/S — капитализация $35.6 млрд почти равна оценке Moonshot</t>
  </si>
  <si>
    <t xml:space="preserve">Годовая выручка выросла со $100 млн до $300 млн за март–июнь 2026, более 70% приходится на API. ВАЖНО: текущий мультипликатор — около 117x выручки против 15–21x у OpenAI и Anthropic, то есть тезис «дешёвая альтернатива Западу» по оценке НЕ подтверждается. Базовый сценарий закладывает четырёхкратный рост выручки к листингу и сжатие мультипликатора.</t>
  </si>
  <si>
    <t xml:space="preserve">Дисконт за нерешённый механизм переноса прав иностранных акционеров при демонтаже VIE</t>
  </si>
  <si>
    <t xml:space="preserve">IPO в Гонконге между MiniMax (~$33 млрд) и Zhipu AI (~$112 млрд)</t>
  </si>
  <si>
    <t xml:space="preserve">Оценка на уровне Zhipu AI после листинга</t>
  </si>
  <si>
    <t xml:space="preserve">• Series F более $3.5 млрд @ ~$35 млрд post-money, объявлен 29.07.2026; книга переподписана более чем втрое при цели $1–2 млрд</t>
  </si>
  <si>
    <t xml:space="preserve">• Идущий pre-IPO раунд по pre-money $50 млрд НЕ закрыт на дату отсечки: заявленный финальный клозинг — 27.08.2026</t>
  </si>
  <si>
    <t xml:space="preserve">• Оценка выросла в 8 раз за 8 месяцев: $4.3 млрд (12.2025) → $35 млрд (07.2026), шесть раундов за год</t>
  </si>
  <si>
    <t xml:space="preserve">• Всего привлечено ~$7.7–8.3 млрд по подтверждённым раундам; единой официальной цифры нет</t>
  </si>
  <si>
    <t xml:space="preserve">• ГЛАВНОЕ ОГРАНИЧЕНИЕ ДОСТУПА: с мая 2026 по требованию CSRC идёт демонтаж офшорной структуры VIE. Компания сообщила акционерам, что механизм переноса прав зарубежных акционеров ЕЩЁ НЕ ОПРЕДЕЛЁН; среди вариантов — продажа офшорных долей. Риск принудительного выхода вместо участия в IPO</t>
  </si>
  <si>
    <t xml:space="preserve">• Для инвесторов из США действует Outbound Investment Security Program (EO 14105, кодифицирован в NDAA FY2026): категория ИИ охвачена прямо. Вход требует отдельной юридической проработки</t>
  </si>
  <si>
    <t xml:space="preserve">• Kimi K3 — первое место среди моделей с открытыми весами (Artificial Analysis Intelligence Index 60), первое место в мире на Frontend Code Arena (Elo 1679), SWE-bench Verified 93.4%</t>
  </si>
  <si>
    <t xml:space="preserve">• Годовая выручка $100 → $200 → $300 млн за март–июнь 2026, более 70% из API, при базе всего 7.45 млн MAU против 382 млн у Doubao</t>
  </si>
  <si>
    <t xml:space="preserve">• IPO: Гонконг, заявка НЕ подана на дату отсечки; таргет подачи — до 30.09.2026, листинг конец 2026 / Q1 2027</t>
  </si>
  <si>
    <t xml:space="preserve">• Риски: DeepSeek дешевле в 7–17 раз и срезал цены ещё вдвое в августе; MAU минус 47% г/г на рынке, растущем на 85%; Alibaba владеет ~36% и конкурирует напрямую через Qwen; аудированной отчётности нет</t>
  </si>
  <si>
    <t xml:space="preserve">• Легальные прокси для западного инвестора: акции Alibaba (~36% Moonshot), Tencent, Meituan, либо публичные Zhipu AI и MiniMax на HKEX</t>
  </si>
  <si>
    <t xml:space="preserve">Диапазон — фактические котировки вторичного рынка. Подтверждённых сделок нет: листинги на Forge, EquityZen и Nasdaq Private Market есть, котировок нет. Данные агрегаторов противоречат друг другу вдвое и противоречат подтверждённым раундам — не использованы. Применена премия 8–15% к оценке раунда.</t>
  </si>
  <si>
    <t xml:space="preserve">Luma AI</t>
  </si>
  <si>
    <t xml:space="preserve">оценка / выручка — верх сектора</t>
  </si>
  <si>
    <t xml:space="preserve">Kling (Kuaishou)</t>
  </si>
  <si>
    <t xml:space="preserve">оценка спин-оффа / выручка</t>
  </si>
  <si>
    <t xml:space="preserve">Synthesia</t>
  </si>
  <si>
    <t xml:space="preserve">Runway</t>
  </si>
  <si>
    <t xml:space="preserve">Higgsfield по заявленной выручке</t>
  </si>
  <si>
    <t xml:space="preserve">$5.4 млрд / $700 млн — втрое ниже медианы сектора</t>
  </si>
  <si>
    <t xml:space="preserve">Модель построена НЕ на заявленной компанией выручке $700 млн, а на независимой оценке Sacra (~$230 млн): обратный счёт по медиане сектора (25–30x) даёт около $215 млн, что сходится с Sacra и расходится с заявлением компании втрое. Базовый сценарий: рост втрое к 2029 году от независимой оценки при сжатии мультипликатора до 20x.</t>
  </si>
  <si>
    <t xml:space="preserve">Потеря доступа к базовым моделям, продажа стратегу за стоимость команды и клиентской базы</t>
  </si>
  <si>
    <t xml:space="preserve">IPO или стратег на уровне Runway и Synthesia с поправкой на более быстрый рост</t>
  </si>
  <si>
    <t xml:space="preserve">Оценка уровня спин-оффа Kling ($15–18 млрд) с премией за рекламный воркфлоу</t>
  </si>
  <si>
    <t xml:space="preserve">• Series B $400 млн @ $5.4 млрд, 17.08.2026, лид DST Global. Рост оценки вчетверо за 8 месяцев (с $1.3 млрд в январе 2026)</t>
  </si>
  <si>
    <t xml:space="preserve">• История: seed $8 млн (2024) → Series A $50 млн / GFT (09.2025) → extension $80 млн / Accel @ $1.3 млрд (01.2026) → Series B. Всего привлечено ~$538 млн</t>
  </si>
  <si>
    <t xml:space="preserve">• Синдикат сменился с венчурного на кроссовер-стратегический (Goldman Sachs Alternatives, Intel Capital, Mirae, NTT DOCOMO, Liberty Global) — типичная предIPO-конфигурация</t>
  </si>
  <si>
    <t xml:space="preserve">• РИСК 1: собственной базовой видеомодели у компании НЕТ. Это надстройка поверх Sora 2, Veo 3.1, Kling 3.0, WAN, Seedance. Своя разработка — только Soul, и та в изображениях. Оценивать следует как дистрибуцию, а не как исследовательскую лабораторию</t>
  </si>
  <si>
    <t xml:space="preserve">• Риск уже реализовался: OpenAI закрывает API Sora 24.09.2026 — Higgsfield теряет компонент, не имея права голоса</t>
  </si>
  <si>
    <t xml:space="preserve">• РИСК 2: расследование Forbes от 11.02.2026 установило, что часть роликов в маркетинговых материалах компании — стоковые шаблоны Envato с нанесёнными логотипами, а не ИИ-генерация. Это подрывает доверие ко всем неаудированным заявлениям, включая финансовые</t>
  </si>
  <si>
    <t xml:space="preserve">• Выручка $700 млн, 30 млн пользователей, 390 компаний из Fortune 500, положительный денежный поток — ИСКЛЮЧИТЕЛЬНО со слов компании. Независимая оценка Sacra: ~$230 млн. Валовая маржа, CAC, LTV, отток и число платящих не раскрыты</t>
  </si>
  <si>
    <t xml:space="preserve">• Капиталоэффективность (подтверждается): до Series B привлечено $138 млн против $859 млн у Runway и $1.06 млрд у Luma</t>
  </si>
  <si>
    <t xml:space="preserve">• Косвенное подтверждение риска ставки на одну модель: OpenAI закрыла Sora, сжигая около $1 млн в день при выручке продукта менее $2.1 млн за всё время</t>
  </si>
  <si>
    <t xml:space="preserve">• Отраслевые прогнозы рынка ИИ-видео некорректны (дают «$2 млрд к 2030», хотя четыре игрока уже делают ~$1.65 млрд в год) — в модели не использованы</t>
  </si>
  <si>
    <t xml:space="preserve">Диапазон — фактические котировки вторичного рынка. Диапазон отражает разрыв между закрытым раундом ($5.9 млрд, ноябрь 2025) и идущими переговорами о раунде $3 млрд по оценке выше $12 млрд (Bloomberg, 24.08.2026). Опорная точка внутри диапазона — котировка от 13.06.2026, соответствующая оценке около $9 млрд. Прецедент тот же, что по 1X и Positron: закрытый раунд устарел. Оговорка: оценка $5.9 млрд — расчёт Forge, эмитентом не подтверждена; котировки площадок ($39.32 Forge против $43.16 NPM) не переводятся в оценку без fully diluted share count, а данных о фактически исполненных сделках нет.</t>
  </si>
  <si>
    <t xml:space="preserve">CoreWeave</t>
  </si>
  <si>
    <t xml:space="preserve">EV/Sales 2026E — главный аналог, выручка Q2'26 $2.58 млрд (+112%)</t>
  </si>
  <si>
    <t xml:space="preserve">Nebius</t>
  </si>
  <si>
    <t xml:space="preserve">EV/ARR</t>
  </si>
  <si>
    <t xml:space="preserve">Together AI</t>
  </si>
  <si>
    <t xml:space="preserve">CoreWeave TTM</t>
  </si>
  <si>
    <t xml:space="preserve">EV/Sales по прошлой выручке — верх диапазона</t>
  </si>
  <si>
    <t xml:space="preserve">Выручка: $425 млн (2024) → run-rate $760 млн (конец 2025) → более $1.5 млрд ожидается по итогам 2026. Базовый сценарий: рост втрое к 2029 году при мультипликаторе 5x — с дисконтом к CoreWeave (6–8x на 2026E) за меньший масштаб. Консервативный сценарий закладывает сжатие мультипликаторов сектора, которое уже происходит: акции CoreWeave потеряли 51% от пика к августу 2026.</t>
  </si>
  <si>
    <t xml:space="preserve">Сжатие мультипликаторов сектора продолжается, размещение по нижней границе</t>
  </si>
  <si>
    <t xml:space="preserve">IPO 2027 с дисконтом к CoreWeave по масштабу выручки</t>
  </si>
  <si>
    <t xml:space="preserve">Мультипликатор уровня Nebius при сохранении темпа роста</t>
  </si>
  <si>
    <t xml:space="preserve">• IPO НЕ состоялось и заявка публично НЕ подана на дату отсечки. Подтверждений конфиденциальной подачи S-1 нет ни в одном первоисточнике — распространённое утверждение об этом восходит к новости о найме Morgan Stanley, J.P. Morgan и Citi (сентябрь 2025). Окно 1П2026 пропущено, ориентир сместился на 2027 год (Bloomberg, 24.08.2026)</t>
  </si>
  <si>
    <t xml:space="preserve">• Series E более $1.5 млрд, 18.11.2025, лид TWG Global; post-money около $5.9 млрд — расчёт Forge, эмитентом не подтверждён</t>
  </si>
  <si>
    <t xml:space="preserve">• Предыдущий раунд: Series D $480 млн @ $2.5 млрд, 19.02.2025 (Andra Capital, SGW)</t>
  </si>
  <si>
    <t xml:space="preserve">• На 24.08.2026 Bloomberg сообщил о переговорах о раунде $3 млрд при оценке выше $12 млрд — несколько term sheets, сделка НЕ закрыта</t>
  </si>
  <si>
    <t xml:space="preserve">• Привлечено раздельно: акционерный капитал ~$2.3–2.4 млрд, долг ~$2.4 млрд ($500 млн Macquarie апрель 2024 — первая в отрасли секьюритизация под залог GPU, рейтинг Moody's Baa2; $1 млрд май 2026; $917 млн Morgan Stanley август 2026). Циркулирующая цифра «$3.14 млрд всего» смешивает акции и долг</t>
  </si>
  <si>
    <t xml:space="preserve">• Выручка: $425 млн (2024) → run-rate $760 млн (конец 2025) → более $1.5 млрд ожидается в 2026. Валовая маржа 1П2025 около 50% (около 61% без продаж железа), убыток TTM около $175 млн</t>
  </si>
  <si>
    <t xml:space="preserve">• Контракт с Microsoft от 03.11.2025 назван многомиллиардным, сумма НЕ раскрыта. Бэклог компания не раскрывает — публичной цифры не существует</t>
  </si>
  <si>
    <t xml:space="preserve">• Мощность более 320 МВт, заявленная цель — 3 ГВт к 2030 году</t>
  </si>
  <si>
    <t xml:space="preserve">• РИСК 1 — структура капитала: долг примерно равен акционерному капиталу и обеспечен быстро дешевеющим железом. Цена часа H100 упала с $7–10 до менее $2–4. Срок амортизации GPU в отрасли не устоялся: Amazon сократил с 6 до 5 лет, CoreWeave держит 6</t>
  </si>
  <si>
    <t xml:space="preserve">• РИСК 2 — сжатие мультипликаторов уже реализовалось: CoreWeave разместилась по $40, выросла втрое к июню 2025 и потеряла 51% от пика к августу 2026 (минус 33% за три месяца)</t>
  </si>
  <si>
    <t xml:space="preserve">• РИСК 3 — концентрация клиентов не раскрывается; круговая связь с NVIDIA, которая одновременно инвестор, поставщик чипов и держатель лизинга дата-центров</t>
  </si>
  <si>
    <t xml:space="preserve">• ПОСЛЕ ДАТЫ ОТСЕЧКИ (в расчёте не учтено): 28.08.2026 привлечён ещё $1 млрд долга (JPMorgan) — совокупный долг вырос примерно до $3.4 млрд, больше всего акционерного капитала. 31.08.2026 объявлен шестилетний контракт с Anthropic на сумму около $35 млрд (350 МВт, Nueces County, Техас). Контракт кратно меняет масштаб бизнеса и одновременно резко усиливает концентрацию клиентов — требует пересчёта модели</t>
  </si>
  <si>
    <t xml:space="preserve">• Тезисы преимущества: статус NVIDIA Exemplar Cloud и четыре года подряд звание партнёра года NVIDIA; инвестиционный рейтинг Baa2 по долгу под залог GPU; работающий self-serve сегмент (1-Click Clusters, около 30 секунд до доступа) с маржой 61% против 50% по компании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</si>
</sst>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6" customFormat="false" ht="23.85" hidden="false" customHeight="false" outlineLevel="0" collapsed="false">
      <c r="A16" s="4" t="s">
        <v>59</v>
      </c>
      <c r="B16" s="5" t="s">
        <v>60</v>
      </c>
      <c r="C16" s="5" t="s">
        <v>61</v>
      </c>
      <c r="D16" s="6" t="n">
        <f aca="false">Waymo!B6</f>
        <v>126</v>
      </c>
      <c r="E16" s="6" t="n">
        <f aca="false">Waymo!B7</f>
        <v>126</v>
      </c>
      <c r="F16" s="6" t="n">
        <f aca="false">Waymo!B10</f>
        <v>136</v>
      </c>
      <c r="G16" s="6" t="n">
        <f aca="false">Waymo!B11</f>
        <v>145</v>
      </c>
      <c r="H16" s="6" t="n">
        <f aca="false">Waymo!B12</f>
        <v>140.5</v>
      </c>
      <c r="I16" s="7" t="s">
        <v>62</v>
      </c>
      <c r="J16" s="6" t="n">
        <f aca="false">Waymo!B36</f>
        <v>310</v>
      </c>
      <c r="K16" s="8" t="n">
        <f aca="false">Waymo!B37</f>
        <v>2.20640569395018</v>
      </c>
      <c r="L16" s="9" t="n">
        <f aca="false">Waymo!B38</f>
        <v>1.20640569395018</v>
      </c>
      <c r="M16" s="9" t="n">
        <f aca="false">Waymo!B39</f>
        <v>0.253706333606649</v>
      </c>
      <c r="N16" s="8" t="n">
        <f aca="false">Waymo!B40</f>
        <v>0.889679715302491</v>
      </c>
      <c r="O16" s="8" t="n">
        <f aca="false">Waymo!C40</f>
        <v>4.98220640569395</v>
      </c>
    </row>
    <row r="17" customFormat="false" ht="23.85" hidden="false" customHeight="false" outlineLevel="0" collapsed="false">
      <c r="A17" s="4" t="s">
        <v>63</v>
      </c>
      <c r="B17" s="5" t="s">
        <v>64</v>
      </c>
      <c r="C17" s="5" t="s">
        <v>65</v>
      </c>
      <c r="D17" s="6" t="n">
        <f aca="false">Plata!B6</f>
        <v>5</v>
      </c>
      <c r="E17" s="6" t="n">
        <f aca="false">Plata!B7</f>
        <v>5</v>
      </c>
      <c r="F17" s="6" t="n">
        <f aca="false">Plata!B10</f>
        <v>5.4</v>
      </c>
      <c r="G17" s="6" t="n">
        <f aca="false">Plata!B11</f>
        <v>5.75</v>
      </c>
      <c r="H17" s="6" t="n">
        <f aca="false">Plata!B12</f>
        <v>5.575</v>
      </c>
      <c r="I17" s="7" t="s">
        <v>66</v>
      </c>
      <c r="J17" s="6" t="n">
        <f aca="false">Plata!B36</f>
        <v>12.85</v>
      </c>
      <c r="K17" s="8" t="n">
        <f aca="false">Plata!B37</f>
        <v>2.30493273542601</v>
      </c>
      <c r="L17" s="9" t="n">
        <f aca="false">Plata!B38</f>
        <v>1.30493273542601</v>
      </c>
      <c r="M17" s="9" t="n">
        <f aca="false">Plata!B39</f>
        <v>0.269453053461715</v>
      </c>
      <c r="N17" s="8" t="n">
        <f aca="false">Plata!B40</f>
        <v>0.717488789237668</v>
      </c>
      <c r="O17" s="8" t="n">
        <f aca="false">Plata!C40</f>
        <v>4.66367713004484</v>
      </c>
    </row>
    <row r="18" customFormat="false" ht="35.05" hidden="false" customHeight="false" outlineLevel="0" collapsed="false">
      <c r="A18" s="4" t="s">
        <v>67</v>
      </c>
      <c r="B18" s="5" t="s">
        <v>68</v>
      </c>
      <c r="C18" s="5" t="s">
        <v>69</v>
      </c>
      <c r="D18" s="6" t="n">
        <f aca="false">'Moonshot AI'!B6</f>
        <v>35</v>
      </c>
      <c r="E18" s="6" t="n">
        <f aca="false">'Moonshot AI'!B7</f>
        <v>35</v>
      </c>
      <c r="F18" s="6" t="n">
        <f aca="false">'Moonshot AI'!B10</f>
        <v>38</v>
      </c>
      <c r="G18" s="6" t="n">
        <f aca="false">'Moonshot AI'!B11</f>
        <v>42</v>
      </c>
      <c r="H18" s="6" t="n">
        <f aca="false">'Moonshot AI'!B12</f>
        <v>40</v>
      </c>
      <c r="I18" s="7" t="s">
        <v>70</v>
      </c>
      <c r="J18" s="6" t="n">
        <f aca="false">'Moonshot AI'!B36</f>
        <v>88</v>
      </c>
      <c r="K18" s="8" t="n">
        <f aca="false">'Moonshot AI'!B37</f>
        <v>2.2</v>
      </c>
      <c r="L18" s="9" t="n">
        <f aca="false">'Moonshot AI'!B38</f>
        <v>1.2</v>
      </c>
      <c r="M18" s="9" t="n">
        <f aca="false">'Moonshot AI'!B39</f>
        <v>0.691538111622984</v>
      </c>
      <c r="N18" s="8" t="n">
        <f aca="false">'Moonshot AI'!B40</f>
        <v>0.675</v>
      </c>
      <c r="O18" s="8" t="n">
        <f aca="false">'Moonshot AI'!C40</f>
        <v>5.25</v>
      </c>
    </row>
    <row r="19" customFormat="false" ht="35.05" hidden="false" customHeight="false" outlineLevel="0" collapsed="false">
      <c r="A19" s="4" t="s">
        <v>71</v>
      </c>
      <c r="B19" s="5" t="s">
        <v>72</v>
      </c>
      <c r="C19" s="5" t="s">
        <v>73</v>
      </c>
      <c r="D19" s="6" t="n">
        <f aca="false">Higgsfield!B6</f>
        <v>5.4</v>
      </c>
      <c r="E19" s="6" t="n">
        <f aca="false">Higgsfield!B7</f>
        <v>5.4</v>
      </c>
      <c r="F19" s="6" t="n">
        <f aca="false">Higgsfield!B10</f>
        <v>5.85</v>
      </c>
      <c r="G19" s="6" t="n">
        <f aca="false">Higgsfield!B11</f>
        <v>6.2</v>
      </c>
      <c r="H19" s="6" t="n">
        <f aca="false">Higgsfield!B12</f>
        <v>6.025</v>
      </c>
      <c r="I19" s="7" t="s">
        <v>74</v>
      </c>
      <c r="J19" s="6" t="n">
        <f aca="false">Higgsfield!B36</f>
        <v>15.65</v>
      </c>
      <c r="K19" s="8" t="n">
        <f aca="false">Higgsfield!B37</f>
        <v>2.59751037344398</v>
      </c>
      <c r="L19" s="9" t="n">
        <f aca="false">Higgsfield!B38</f>
        <v>1.59751037344398</v>
      </c>
      <c r="M19" s="9" t="n">
        <f aca="false">Higgsfield!B39</f>
        <v>0.464950385062174</v>
      </c>
      <c r="N19" s="8" t="n">
        <f aca="false">Higgsfield!B40</f>
        <v>0.497925311203319</v>
      </c>
      <c r="O19" s="8" t="n">
        <f aca="false">Higgsfield!C40</f>
        <v>7.46887966804979</v>
      </c>
    </row>
    <row r="20" customFormat="false" ht="23.85" hidden="false" customHeight="false" outlineLevel="0" collapsed="false">
      <c r="A20" s="4" t="s">
        <v>75</v>
      </c>
      <c r="B20" s="5" t="s">
        <v>76</v>
      </c>
      <c r="C20" s="5" t="s">
        <v>77</v>
      </c>
      <c r="D20" s="6" t="n">
        <f aca="false">Lambda!B6</f>
        <v>5.9</v>
      </c>
      <c r="E20" s="6" t="n">
        <f aca="false">Lambda!B7</f>
        <v>5.9</v>
      </c>
      <c r="F20" s="6" t="n">
        <f aca="false">Lambda!B10</f>
        <v>9</v>
      </c>
      <c r="G20" s="6" t="n">
        <f aca="false">Lambda!B11</f>
        <v>12</v>
      </c>
      <c r="H20" s="6" t="n">
        <f aca="false">Lambda!B12</f>
        <v>10.5</v>
      </c>
      <c r="I20" s="7" t="s">
        <v>78</v>
      </c>
      <c r="J20" s="6" t="n">
        <f aca="false">Lambda!B36</f>
        <v>25</v>
      </c>
      <c r="K20" s="8" t="n">
        <f aca="false">Lambda!B37</f>
        <v>2.38095238095238</v>
      </c>
      <c r="L20" s="9" t="n">
        <f aca="false">Lambda!B38</f>
        <v>1.38095238095238</v>
      </c>
      <c r="M20" s="9" t="n">
        <f aca="false">Lambda!B39</f>
        <v>0.41481704664972</v>
      </c>
      <c r="N20" s="8" t="n">
        <f aca="false">Lambda!B40</f>
        <v>0.714285714285714</v>
      </c>
      <c r="O20" s="8" t="n">
        <f aca="false">Lambda!C40</f>
        <v>5.71428571428571</v>
      </c>
    </row>
    <row r="22" customFormat="false" ht="15" hidden="false" customHeight="false" outlineLevel="0" collapsed="false">
      <c r="A22" s="2" t="s">
        <v>79</v>
      </c>
    </row>
    <row r="23" customFormat="false" ht="15" hidden="false" customHeight="false" outlineLevel="0" collapsed="false">
      <c r="A23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81</v>
      </c>
    </row>
    <row r="3" customFormat="false" ht="45.75" hidden="false" customHeight="true" outlineLevel="0" collapsed="false">
      <c r="A3" s="10" t="s">
        <v>5</v>
      </c>
      <c r="B3" s="11" t="s">
        <v>82</v>
      </c>
    </row>
    <row r="4" customFormat="false" ht="45.75" hidden="false" customHeight="true" outlineLevel="0" collapsed="false">
      <c r="A4" s="10" t="s">
        <v>83</v>
      </c>
      <c r="B4" s="11" t="s">
        <v>84</v>
      </c>
    </row>
    <row r="5" customFormat="false" ht="45.75" hidden="false" customHeight="true" outlineLevel="0" collapsed="false">
      <c r="A5" s="10" t="s">
        <v>85</v>
      </c>
      <c r="B5" s="11" t="s">
        <v>86</v>
      </c>
    </row>
    <row r="6" customFormat="false" ht="45.75" hidden="false" customHeight="true" outlineLevel="0" collapsed="false">
      <c r="A6" s="10" t="s">
        <v>87</v>
      </c>
      <c r="B6" s="11" t="s">
        <v>88</v>
      </c>
    </row>
    <row r="7" customFormat="false" ht="45.75" hidden="false" customHeight="true" outlineLevel="0" collapsed="false">
      <c r="A7" s="10" t="s">
        <v>89</v>
      </c>
      <c r="B7" s="11" t="s">
        <v>90</v>
      </c>
    </row>
    <row r="8" customFormat="false" ht="45.75" hidden="false" customHeight="true" outlineLevel="0" collapsed="false">
      <c r="A8" s="10" t="s">
        <v>91</v>
      </c>
      <c r="B8" s="11" t="s">
        <v>92</v>
      </c>
    </row>
    <row r="9" customFormat="false" ht="45.75" hidden="false" customHeight="true" outlineLevel="0" collapsed="false">
      <c r="A9" s="10" t="s">
        <v>93</v>
      </c>
      <c r="B9" s="11" t="s">
        <v>94</v>
      </c>
    </row>
    <row r="10" customFormat="false" ht="45.75" hidden="false" customHeight="true" outlineLevel="0" collapsed="false">
      <c r="A10" s="10" t="s">
        <v>95</v>
      </c>
      <c r="B10" s="11" t="s">
        <v>96</v>
      </c>
    </row>
    <row r="11" customFormat="false" ht="45.75" hidden="false" customHeight="true" outlineLevel="0" collapsed="false">
      <c r="A11" s="10" t="s">
        <v>97</v>
      </c>
      <c r="B11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19</v>
      </c>
    </row>
    <row r="6" customFormat="false" ht="15" hidden="false" customHeight="false" outlineLevel="0" collapsed="false">
      <c r="A6" s="14" t="s">
        <v>101</v>
      </c>
      <c r="B6" s="15" t="n">
        <v>852</v>
      </c>
    </row>
    <row r="7" customFormat="false" ht="15" hidden="false" customHeight="false" outlineLevel="0" collapsed="false">
      <c r="A7" s="14" t="s">
        <v>102</v>
      </c>
      <c r="B7" s="15" t="n">
        <v>852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106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108</v>
      </c>
      <c r="B13" s="18" t="s">
        <v>109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113</v>
      </c>
      <c r="B17" s="21" t="n">
        <v>10.5</v>
      </c>
      <c r="C17" s="22" t="s">
        <v>114</v>
      </c>
    </row>
    <row r="18" customFormat="false" ht="15" hidden="false" customHeight="false" outlineLevel="0" collapsed="false">
      <c r="A18" s="20" t="s">
        <v>115</v>
      </c>
      <c r="B18" s="21" t="n">
        <v>24.7</v>
      </c>
      <c r="C18" s="22" t="s">
        <v>116</v>
      </c>
    </row>
    <row r="19" customFormat="false" ht="15" hidden="false" customHeight="false" outlineLevel="0" collapsed="false">
      <c r="A19" s="20" t="s">
        <v>117</v>
      </c>
      <c r="B19" s="21" t="n">
        <v>9.4</v>
      </c>
      <c r="C19" s="22" t="s">
        <v>116</v>
      </c>
    </row>
    <row r="20" customFormat="false" ht="15" hidden="false" customHeight="false" outlineLevel="0" collapsed="false">
      <c r="A20" s="20" t="s">
        <v>118</v>
      </c>
      <c r="B20" s="21" t="n">
        <v>7</v>
      </c>
      <c r="C20" s="22" t="s">
        <v>116</v>
      </c>
    </row>
    <row r="21" customFormat="false" ht="15" hidden="false" customHeight="false" outlineLevel="0" collapsed="false">
      <c r="A21" s="20" t="s">
        <v>119</v>
      </c>
      <c r="B21" s="21" t="n">
        <v>61</v>
      </c>
      <c r="C21" s="22" t="s">
        <v>120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136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1.5</v>
      </c>
      <c r="D32" s="5" t="s">
        <v>139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140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</v>
      </c>
      <c r="D34" s="5" t="s">
        <v>141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148</v>
      </c>
    </row>
    <row r="45" customFormat="false" ht="15" hidden="false" customHeight="false" outlineLevel="0" collapsed="false">
      <c r="A45" s="2" t="s">
        <v>149</v>
      </c>
    </row>
    <row r="46" customFormat="false" ht="15" hidden="false" customHeight="false" outlineLevel="0" collapsed="false">
      <c r="A46" s="2" t="s">
        <v>150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23</v>
      </c>
    </row>
    <row r="6" customFormat="false" ht="15" hidden="false" customHeight="false" outlineLevel="0" collapsed="false">
      <c r="A6" s="14" t="s">
        <v>101</v>
      </c>
      <c r="B6" s="15" t="n">
        <v>39</v>
      </c>
    </row>
    <row r="7" customFormat="false" ht="15" hidden="false" customHeight="false" outlineLevel="0" collapsed="false">
      <c r="A7" s="14" t="s">
        <v>102</v>
      </c>
      <c r="B7" s="15" t="n">
        <v>39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30</v>
      </c>
    </row>
    <row r="11" customFormat="false" ht="15" hidden="false" customHeight="false" outlineLevel="0" collapsed="false">
      <c r="A11" s="14" t="s">
        <v>106</v>
      </c>
      <c r="B11" s="15" t="n">
        <v>33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108</v>
      </c>
      <c r="B13" s="18" t="s">
        <v>152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157</v>
      </c>
      <c r="B19" s="21" t="n">
        <v>7.3</v>
      </c>
      <c r="C19" s="22" t="s">
        <v>158</v>
      </c>
    </row>
    <row r="20" customFormat="false" ht="15" hidden="false" customHeight="false" outlineLevel="0" collapsed="false">
      <c r="A20" s="20" t="s">
        <v>159</v>
      </c>
      <c r="B20" s="21" t="n">
        <v>6.3</v>
      </c>
      <c r="C20" s="22" t="s">
        <v>160</v>
      </c>
    </row>
    <row r="21" customFormat="false" ht="15" hidden="false" customHeight="false" outlineLevel="0" collapsed="false">
      <c r="A21" s="20" t="s">
        <v>161</v>
      </c>
      <c r="B21" s="21" t="n">
        <v>2.6</v>
      </c>
      <c r="C21" s="22" t="s">
        <v>162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165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166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167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168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27</v>
      </c>
    </row>
    <row r="6" customFormat="false" ht="15" hidden="false" customHeight="false" outlineLevel="0" collapsed="false">
      <c r="A6" s="14" t="s">
        <v>101</v>
      </c>
      <c r="B6" s="15" t="n">
        <v>10</v>
      </c>
    </row>
    <row r="7" customFormat="false" ht="15" hidden="false" customHeight="false" outlineLevel="0" collapsed="false">
      <c r="A7" s="14" t="s">
        <v>102</v>
      </c>
      <c r="B7" s="15" t="n">
        <v>10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10.5</v>
      </c>
    </row>
    <row r="11" customFormat="false" ht="15" hidden="false" customHeight="false" outlineLevel="0" collapsed="false">
      <c r="A11" s="14" t="s">
        <v>106</v>
      </c>
      <c r="B11" s="15" t="n">
        <v>12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108</v>
      </c>
      <c r="B13" s="18" t="s">
        <v>172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173</v>
      </c>
      <c r="B19" s="21" t="n">
        <v>1</v>
      </c>
      <c r="C19" s="22" t="s">
        <v>174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175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176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177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178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179</v>
      </c>
    </row>
    <row r="45" customFormat="false" ht="15" hidden="false" customHeight="false" outlineLevel="0" collapsed="false">
      <c r="A45" s="2" t="s">
        <v>180</v>
      </c>
    </row>
    <row r="46" customFormat="false" ht="15" hidden="false" customHeight="false" outlineLevel="0" collapsed="false">
      <c r="A46" s="2" t="s">
        <v>181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31</v>
      </c>
    </row>
    <row r="6" customFormat="false" ht="15" hidden="false" customHeight="false" outlineLevel="0" collapsed="false">
      <c r="A6" s="14" t="s">
        <v>101</v>
      </c>
      <c r="B6" s="15" t="n">
        <v>15</v>
      </c>
    </row>
    <row r="7" customFormat="false" ht="15" hidden="false" customHeight="false" outlineLevel="0" collapsed="false">
      <c r="A7" s="14" t="s">
        <v>102</v>
      </c>
      <c r="B7" s="15" t="n">
        <v>15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13.5</v>
      </c>
    </row>
    <row r="11" customFormat="false" ht="15" hidden="false" customHeight="false" outlineLevel="0" collapsed="false">
      <c r="A11" s="14" t="s">
        <v>106</v>
      </c>
      <c r="B11" s="15" t="n">
        <v>15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108</v>
      </c>
      <c r="B13" s="18" t="s">
        <v>182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183</v>
      </c>
      <c r="B17" s="21" t="n">
        <v>20.7</v>
      </c>
      <c r="C17" s="22" t="s">
        <v>184</v>
      </c>
    </row>
    <row r="18" customFormat="false" ht="15" hidden="false" customHeight="false" outlineLevel="0" collapsed="false">
      <c r="A18" s="20" t="s">
        <v>185</v>
      </c>
      <c r="B18" s="21" t="n">
        <v>17</v>
      </c>
      <c r="C18" s="22" t="s">
        <v>186</v>
      </c>
    </row>
    <row r="19" customFormat="false" ht="15" hidden="false" customHeight="false" outlineLevel="0" collapsed="false">
      <c r="A19" s="20" t="s">
        <v>187</v>
      </c>
      <c r="B19" s="21" t="n">
        <v>9</v>
      </c>
      <c r="C19" s="22" t="s">
        <v>188</v>
      </c>
    </row>
    <row r="20" customFormat="false" ht="15" hidden="false" customHeight="false" outlineLevel="0" collapsed="false">
      <c r="A20" s="20" t="s">
        <v>189</v>
      </c>
      <c r="B20" s="21" t="n">
        <v>5.9</v>
      </c>
      <c r="C20" s="22" t="s">
        <v>190</v>
      </c>
    </row>
    <row r="21" customFormat="false" ht="15" hidden="false" customHeight="false" outlineLevel="0" collapsed="false">
      <c r="A21" s="20" t="s">
        <v>191</v>
      </c>
      <c r="B21" s="21" t="n">
        <v>2.1</v>
      </c>
      <c r="C21" s="22" t="s">
        <v>192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193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194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195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196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197</v>
      </c>
    </row>
    <row r="45" customFormat="false" ht="15" hidden="false" customHeight="false" outlineLevel="0" collapsed="false">
      <c r="A45" s="2" t="s">
        <v>198</v>
      </c>
    </row>
    <row r="46" customFormat="false" ht="15" hidden="false" customHeight="false" outlineLevel="0" collapsed="false">
      <c r="A46" s="2" t="s">
        <v>199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35</v>
      </c>
    </row>
    <row r="6" customFormat="false" ht="15" hidden="false" customHeight="false" outlineLevel="0" collapsed="false">
      <c r="A6" s="14" t="s">
        <v>101</v>
      </c>
      <c r="B6" s="15" t="n">
        <v>1</v>
      </c>
    </row>
    <row r="7" customFormat="false" ht="15" hidden="false" customHeight="false" outlineLevel="0" collapsed="false">
      <c r="A7" s="14" t="s">
        <v>200</v>
      </c>
      <c r="B7" s="15" t="n">
        <v>3.5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201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115</v>
      </c>
      <c r="B17" s="21" t="n">
        <v>20.6</v>
      </c>
      <c r="C17" s="22" t="s">
        <v>184</v>
      </c>
    </row>
    <row r="18" customFormat="false" ht="15" hidden="false" customHeight="false" outlineLevel="0" collapsed="false">
      <c r="A18" s="20" t="s">
        <v>202</v>
      </c>
      <c r="B18" s="21" t="n">
        <v>24.5</v>
      </c>
      <c r="C18" s="22" t="s">
        <v>184</v>
      </c>
    </row>
    <row r="19" customFormat="false" ht="15" hidden="false" customHeight="false" outlineLevel="0" collapsed="false">
      <c r="A19" s="20" t="s">
        <v>203</v>
      </c>
      <c r="B19" s="21" t="n">
        <v>18</v>
      </c>
      <c r="C19" s="22" t="s">
        <v>184</v>
      </c>
    </row>
    <row r="20" customFormat="false" ht="15" hidden="false" customHeight="false" outlineLevel="0" collapsed="false">
      <c r="A20" s="20" t="s">
        <v>204</v>
      </c>
      <c r="B20" s="21" t="n">
        <v>16.9</v>
      </c>
      <c r="C20" s="22" t="s">
        <v>184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206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207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208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209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210</v>
      </c>
    </row>
    <row r="45" customFormat="false" ht="15" hidden="false" customHeight="false" outlineLevel="0" collapsed="false">
      <c r="A45" s="2" t="s">
        <v>211</v>
      </c>
    </row>
    <row r="46" customFormat="false" ht="15" hidden="false" customHeight="false" outlineLevel="0" collapsed="false">
      <c r="A46" s="2" t="s">
        <v>212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39</v>
      </c>
    </row>
    <row r="6" customFormat="false" ht="15" hidden="false" customHeight="false" outlineLevel="0" collapsed="false">
      <c r="A6" s="14" t="s">
        <v>101</v>
      </c>
      <c r="B6" s="15" t="n">
        <v>190</v>
      </c>
    </row>
    <row r="7" customFormat="false" ht="15" hidden="false" customHeight="false" outlineLevel="0" collapsed="false">
      <c r="A7" s="14" t="s">
        <v>102</v>
      </c>
      <c r="B7" s="15" t="n">
        <v>190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195</v>
      </c>
    </row>
    <row r="11" customFormat="false" ht="15" hidden="false" customHeight="false" outlineLevel="0" collapsed="false">
      <c r="A11" s="14" t="s">
        <v>106</v>
      </c>
      <c r="B11" s="15" t="n">
        <v>210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108</v>
      </c>
      <c r="B13" s="18" t="s">
        <v>213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215</v>
      </c>
    </row>
    <row r="18" customFormat="false" ht="15" hidden="false" customHeight="false" outlineLevel="0" collapsed="false">
      <c r="A18" s="20" t="s">
        <v>119</v>
      </c>
      <c r="B18" s="21" t="n">
        <v>61</v>
      </c>
      <c r="C18" s="22" t="s">
        <v>216</v>
      </c>
    </row>
    <row r="19" customFormat="false" ht="15" hidden="false" customHeight="false" outlineLevel="0" collapsed="false">
      <c r="A19" s="20" t="s">
        <v>217</v>
      </c>
      <c r="B19" s="21" t="n">
        <v>10</v>
      </c>
      <c r="C19" s="22" t="s">
        <v>218</v>
      </c>
    </row>
    <row r="20" customFormat="false" ht="15" hidden="false" customHeight="false" outlineLevel="0" collapsed="false">
      <c r="A20" s="20" t="s">
        <v>113</v>
      </c>
      <c r="B20" s="21" t="n">
        <v>10.5</v>
      </c>
      <c r="C20" s="22" t="s">
        <v>219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220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221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222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223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224</v>
      </c>
    </row>
    <row r="45" customFormat="false" ht="15" hidden="false" customHeight="false" outlineLevel="0" collapsed="false">
      <c r="A45" s="2" t="s">
        <v>225</v>
      </c>
    </row>
    <row r="46" customFormat="false" ht="15" hidden="false" customHeight="false" outlineLevel="0" collapsed="false">
      <c r="A46" s="2" t="s">
        <v>226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43</v>
      </c>
    </row>
    <row r="6" customFormat="false" ht="15" hidden="false" customHeight="false" outlineLevel="0" collapsed="false">
      <c r="A6" s="14" t="s">
        <v>101</v>
      </c>
      <c r="B6" s="15" t="n">
        <v>30</v>
      </c>
    </row>
    <row r="7" customFormat="false" ht="15" hidden="false" customHeight="false" outlineLevel="0" collapsed="false">
      <c r="A7" s="14" t="s">
        <v>102</v>
      </c>
      <c r="B7" s="15" t="n">
        <v>30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23</v>
      </c>
    </row>
    <row r="11" customFormat="false" ht="15" hidden="false" customHeight="false" outlineLevel="0" collapsed="false">
      <c r="A11" s="14" t="s">
        <v>106</v>
      </c>
      <c r="B11" s="15" t="n">
        <v>28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108</v>
      </c>
      <c r="B13" s="18" t="s">
        <v>227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228</v>
      </c>
    </row>
    <row r="18" customFormat="false" ht="15" hidden="false" customHeight="false" outlineLevel="0" collapsed="false">
      <c r="A18" s="20" t="s">
        <v>229</v>
      </c>
      <c r="B18" s="21" t="n">
        <v>6.1</v>
      </c>
      <c r="C18" s="22" t="s">
        <v>230</v>
      </c>
    </row>
    <row r="19" customFormat="false" ht="15" hidden="false" customHeight="false" outlineLevel="0" collapsed="false">
      <c r="A19" s="20" t="s">
        <v>231</v>
      </c>
      <c r="B19" s="21" t="n">
        <v>4.7</v>
      </c>
      <c r="C19" s="22" t="s">
        <v>232</v>
      </c>
    </row>
    <row r="20" customFormat="false" ht="15" hidden="false" customHeight="false" outlineLevel="0" collapsed="false">
      <c r="A20" s="20" t="s">
        <v>233</v>
      </c>
      <c r="B20" s="21" t="n">
        <v>3.2</v>
      </c>
      <c r="C20" s="22" t="s">
        <v>234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235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236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237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238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239</v>
      </c>
    </row>
    <row r="45" customFormat="false" ht="15" hidden="false" customHeight="false" outlineLevel="0" collapsed="false">
      <c r="A45" s="2" t="s">
        <v>240</v>
      </c>
    </row>
    <row r="46" customFormat="false" ht="15" hidden="false" customHeight="false" outlineLevel="0" collapsed="false">
      <c r="A46" s="2" t="s">
        <v>241</v>
      </c>
    </row>
    <row r="47" customFormat="false" ht="15" hidden="false" customHeight="false" outlineLevel="0" collapsed="false">
      <c r="A47" s="2" t="s">
        <v>242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47</v>
      </c>
    </row>
    <row r="6" customFormat="false" ht="15" hidden="false" customHeight="false" outlineLevel="0" collapsed="false">
      <c r="A6" s="14" t="s">
        <v>101</v>
      </c>
      <c r="B6" s="15" t="n">
        <v>425</v>
      </c>
    </row>
    <row r="7" customFormat="false" ht="15" hidden="false" customHeight="false" outlineLevel="0" collapsed="false">
      <c r="A7" s="14" t="s">
        <v>102</v>
      </c>
      <c r="B7" s="15" t="n">
        <v>425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590</v>
      </c>
    </row>
    <row r="11" customFormat="false" ht="15" hidden="false" customHeight="false" outlineLevel="0" collapsed="false">
      <c r="A11" s="14" t="s">
        <v>106</v>
      </c>
      <c r="B11" s="15" t="n">
        <v>610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108</v>
      </c>
      <c r="B13" s="18" t="s">
        <v>243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118</v>
      </c>
      <c r="B17" s="21" t="n">
        <v>7.5</v>
      </c>
      <c r="C17" s="22" t="s">
        <v>244</v>
      </c>
    </row>
    <row r="18" customFormat="false" ht="15" hidden="false" customHeight="false" outlineLevel="0" collapsed="false">
      <c r="A18" s="20" t="s">
        <v>245</v>
      </c>
      <c r="B18" s="21" t="n">
        <v>10.7</v>
      </c>
      <c r="C18" s="22" t="s">
        <v>246</v>
      </c>
    </row>
    <row r="19" customFormat="false" ht="15" hidden="false" customHeight="false" outlineLevel="0" collapsed="false">
      <c r="A19" s="20" t="s">
        <v>247</v>
      </c>
      <c r="B19" s="21" t="n">
        <v>4.5</v>
      </c>
      <c r="C19" s="22" t="s">
        <v>248</v>
      </c>
    </row>
    <row r="20" customFormat="false" ht="15" hidden="false" customHeight="false" outlineLevel="0" collapsed="false">
      <c r="A20" s="20" t="s">
        <v>249</v>
      </c>
      <c r="B20" s="21" t="n">
        <v>2</v>
      </c>
      <c r="C20" s="22" t="s">
        <v>250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251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252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253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254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255</v>
      </c>
    </row>
    <row r="45" customFormat="false" ht="15" hidden="false" customHeight="false" outlineLevel="0" collapsed="false">
      <c r="A45" s="2" t="s">
        <v>256</v>
      </c>
    </row>
    <row r="46" customFormat="false" ht="15" hidden="false" customHeight="false" outlineLevel="0" collapsed="false">
      <c r="A46" s="2" t="s">
        <v>257</v>
      </c>
    </row>
    <row r="47" customFormat="false" ht="15" hidden="false" customHeight="false" outlineLevel="0" collapsed="false">
      <c r="A47" s="2" t="s">
        <v>258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51</v>
      </c>
    </row>
    <row r="6" customFormat="false" ht="15" hidden="false" customHeight="false" outlineLevel="0" collapsed="false">
      <c r="A6" s="14" t="s">
        <v>101</v>
      </c>
      <c r="B6" s="15" t="n">
        <v>7.2</v>
      </c>
    </row>
    <row r="7" customFormat="false" ht="15" hidden="false" customHeight="false" outlineLevel="0" collapsed="false">
      <c r="A7" s="14" t="s">
        <v>102</v>
      </c>
      <c r="B7" s="15" t="n">
        <v>7.2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6.5</v>
      </c>
    </row>
    <row r="11" customFormat="false" ht="15" hidden="false" customHeight="false" outlineLevel="0" collapsed="false">
      <c r="A11" s="14" t="s">
        <v>106</v>
      </c>
      <c r="B11" s="15" t="n">
        <v>7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108</v>
      </c>
      <c r="B13" s="18" t="s">
        <v>259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119</v>
      </c>
      <c r="B17" s="21" t="n">
        <v>61</v>
      </c>
      <c r="C17" s="22" t="s">
        <v>260</v>
      </c>
    </row>
    <row r="18" customFormat="false" ht="15" hidden="false" customHeight="false" outlineLevel="0" collapsed="false">
      <c r="A18" s="20" t="s">
        <v>214</v>
      </c>
      <c r="B18" s="21" t="n">
        <v>21.3</v>
      </c>
      <c r="C18" s="22" t="s">
        <v>184</v>
      </c>
    </row>
    <row r="19" customFormat="false" ht="15" hidden="false" customHeight="false" outlineLevel="0" collapsed="false">
      <c r="A19" s="20" t="s">
        <v>261</v>
      </c>
      <c r="B19" s="21" t="n">
        <v>20.9</v>
      </c>
      <c r="C19" s="22" t="s">
        <v>184</v>
      </c>
    </row>
    <row r="20" customFormat="false" ht="15" hidden="false" customHeight="false" outlineLevel="0" collapsed="false">
      <c r="A20" s="20" t="s">
        <v>217</v>
      </c>
      <c r="B20" s="21" t="n">
        <v>9.5</v>
      </c>
      <c r="C20" s="22" t="s">
        <v>184</v>
      </c>
    </row>
    <row r="21" customFormat="false" ht="15" hidden="false" customHeight="false" outlineLevel="0" collapsed="false">
      <c r="A21" s="20" t="s">
        <v>262</v>
      </c>
      <c r="B21" s="21" t="n">
        <v>8.2</v>
      </c>
      <c r="C21" s="22" t="s">
        <v>263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264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265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266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267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268</v>
      </c>
    </row>
    <row r="45" customFormat="false" ht="15" hidden="false" customHeight="false" outlineLevel="0" collapsed="false">
      <c r="A45" s="2" t="s">
        <v>269</v>
      </c>
    </row>
    <row r="46" customFormat="false" ht="15" hidden="false" customHeight="false" outlineLevel="0" collapsed="false">
      <c r="A46" s="2" t="s">
        <v>270</v>
      </c>
    </row>
    <row r="47" customFormat="false" ht="15" hidden="false" customHeight="false" outlineLevel="0" collapsed="false">
      <c r="A47" s="2" t="s">
        <v>271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54</v>
      </c>
    </row>
    <row r="6" customFormat="false" ht="15" hidden="false" customHeight="false" outlineLevel="0" collapsed="false">
      <c r="A6" s="14" t="s">
        <v>101</v>
      </c>
      <c r="B6" s="15" t="n">
        <v>4.4</v>
      </c>
    </row>
    <row r="7" customFormat="false" ht="15" hidden="false" customHeight="false" outlineLevel="0" collapsed="false">
      <c r="A7" s="14" t="s">
        <v>102</v>
      </c>
      <c r="B7" s="15" t="n">
        <v>4.4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273</v>
      </c>
      <c r="B17" s="21" t="n">
        <v>21.1</v>
      </c>
      <c r="C17" s="22" t="s">
        <v>274</v>
      </c>
    </row>
    <row r="18" customFormat="false" ht="15" hidden="false" customHeight="false" outlineLevel="0" collapsed="false">
      <c r="A18" s="20" t="s">
        <v>115</v>
      </c>
      <c r="B18" s="21" t="n">
        <v>20.6</v>
      </c>
      <c r="C18" s="22" t="s">
        <v>184</v>
      </c>
    </row>
    <row r="19" customFormat="false" ht="15" hidden="false" customHeight="false" outlineLevel="0" collapsed="false">
      <c r="A19" s="20" t="s">
        <v>202</v>
      </c>
      <c r="B19" s="21" t="n">
        <v>14.2</v>
      </c>
      <c r="C19" s="22" t="s">
        <v>275</v>
      </c>
    </row>
    <row r="20" customFormat="false" ht="15" hidden="false" customHeight="false" outlineLevel="0" collapsed="false">
      <c r="A20" s="20" t="s">
        <v>276</v>
      </c>
      <c r="B20" s="21" t="n">
        <v>10.3</v>
      </c>
      <c r="C20" s="22" t="s">
        <v>277</v>
      </c>
    </row>
    <row r="21" customFormat="false" ht="15" hidden="false" customHeight="false" outlineLevel="0" collapsed="false">
      <c r="A21" s="20" t="s">
        <v>204</v>
      </c>
      <c r="B21" s="21" t="n">
        <v>9.4</v>
      </c>
      <c r="C21" s="22" t="s">
        <v>275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278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279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280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281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282</v>
      </c>
    </row>
    <row r="45" customFormat="false" ht="15" hidden="false" customHeight="false" outlineLevel="0" collapsed="false">
      <c r="A45" s="2" t="s">
        <v>283</v>
      </c>
    </row>
    <row r="46" customFormat="false" ht="15" hidden="false" customHeight="false" outlineLevel="0" collapsed="false">
      <c r="A46" s="2" t="s">
        <v>284</v>
      </c>
    </row>
    <row r="47" customFormat="false" ht="15" hidden="false" customHeight="false" outlineLevel="0" collapsed="false">
      <c r="A47" s="2" t="s">
        <v>285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57</v>
      </c>
    </row>
    <row r="6" customFormat="false" ht="15" hidden="false" customHeight="false" outlineLevel="0" collapsed="false">
      <c r="A6" s="14" t="s">
        <v>101</v>
      </c>
      <c r="B6" s="15" t="n">
        <v>7</v>
      </c>
    </row>
    <row r="7" customFormat="false" ht="15" hidden="false" customHeight="false" outlineLevel="0" collapsed="false">
      <c r="A7" s="14" t="s">
        <v>102</v>
      </c>
      <c r="B7" s="15" t="n">
        <v>7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</v>
      </c>
    </row>
    <row r="11" customFormat="false" ht="15" hidden="false" customHeight="false" outlineLevel="0" collapsed="false">
      <c r="A11" s="14" t="s">
        <v>106</v>
      </c>
      <c r="B11" s="15" t="n">
        <v>6.5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108</v>
      </c>
      <c r="B13" s="18" t="s">
        <v>286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287</v>
      </c>
      <c r="B17" s="21" t="n">
        <v>58</v>
      </c>
      <c r="C17" s="22" t="s">
        <v>288</v>
      </c>
    </row>
    <row r="18" customFormat="false" ht="15" hidden="false" customHeight="false" outlineLevel="0" collapsed="false">
      <c r="A18" s="20" t="s">
        <v>289</v>
      </c>
      <c r="B18" s="21" t="n">
        <v>200</v>
      </c>
      <c r="C18" s="22" t="s">
        <v>290</v>
      </c>
    </row>
    <row r="19" customFormat="false" ht="15" hidden="false" customHeight="false" outlineLevel="0" collapsed="false">
      <c r="A19" s="20" t="s">
        <v>291</v>
      </c>
      <c r="B19" s="21" t="n">
        <v>157</v>
      </c>
      <c r="C19" s="22" t="s">
        <v>292</v>
      </c>
    </row>
    <row r="20" customFormat="false" ht="15" hidden="false" customHeight="false" outlineLevel="0" collapsed="false">
      <c r="A20" s="20" t="s">
        <v>293</v>
      </c>
      <c r="B20" s="21" t="n">
        <v>15.6</v>
      </c>
      <c r="C20" s="22" t="s">
        <v>294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295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3.5</v>
      </c>
      <c r="D32" s="5" t="s">
        <v>296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4.5</v>
      </c>
      <c r="D33" s="5" t="s">
        <v>297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5.5</v>
      </c>
      <c r="D34" s="5" t="s">
        <v>298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299</v>
      </c>
    </row>
    <row r="45" customFormat="false" ht="15" hidden="false" customHeight="false" outlineLevel="0" collapsed="false">
      <c r="A45" s="2" t="s">
        <v>300</v>
      </c>
    </row>
    <row r="46" customFormat="false" ht="15" hidden="false" customHeight="false" outlineLevel="0" collapsed="false">
      <c r="A46" s="2" t="s">
        <v>301</v>
      </c>
    </row>
    <row r="47" customFormat="false" ht="15" hidden="false" customHeight="false" outlineLevel="0" collapsed="false">
      <c r="A47" s="2" t="s">
        <v>302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12" t="s">
        <v>60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61</v>
      </c>
    </row>
    <row r="6" customFormat="false" ht="15" hidden="false" customHeight="false" outlineLevel="0" collapsed="false">
      <c r="A6" s="14" t="s">
        <v>101</v>
      </c>
      <c r="B6" s="15" t="n">
        <v>126</v>
      </c>
    </row>
    <row r="7" customFormat="false" ht="15" hidden="false" customHeight="false" outlineLevel="0" collapsed="false">
      <c r="A7" s="14" t="s">
        <v>102</v>
      </c>
      <c r="B7" s="15" t="n">
        <v>126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136</v>
      </c>
    </row>
    <row r="11" customFormat="false" ht="15" hidden="false" customHeight="false" outlineLevel="0" collapsed="false">
      <c r="A11" s="14" t="s">
        <v>106</v>
      </c>
      <c r="B11" s="15" t="n">
        <v>145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140.5</v>
      </c>
    </row>
    <row r="13" customFormat="false" ht="42" hidden="false" customHeight="true" outlineLevel="0" collapsed="false">
      <c r="A13" s="14" t="s">
        <v>108</v>
      </c>
      <c r="B13" s="18" t="s">
        <v>303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304</v>
      </c>
      <c r="B17" s="21" t="n">
        <v>2.8</v>
      </c>
      <c r="C17" s="22" t="s">
        <v>305</v>
      </c>
    </row>
    <row r="18" customFormat="false" ht="15" hidden="false" customHeight="false" outlineLevel="0" collapsed="false">
      <c r="A18" s="20" t="s">
        <v>153</v>
      </c>
      <c r="B18" s="21" t="n">
        <v>15.2</v>
      </c>
      <c r="C18" s="22" t="s">
        <v>306</v>
      </c>
    </row>
    <row r="19" customFormat="false" ht="15" hidden="false" customHeight="false" outlineLevel="0" collapsed="false">
      <c r="A19" s="20" t="s">
        <v>307</v>
      </c>
      <c r="B19" s="21" t="n">
        <v>0.9</v>
      </c>
      <c r="C19" s="22" t="s">
        <v>308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5</v>
      </c>
      <c r="E25" s="26" t="n">
        <v>25</v>
      </c>
      <c r="F25" s="27" t="n">
        <f aca="false">D25*E25</f>
        <v>125</v>
      </c>
      <c r="G25" s="28" t="n">
        <f aca="false">F25/B12</f>
        <v>0.889679715302491</v>
      </c>
      <c r="H25" s="29" t="n">
        <f aca="false">G25-1</f>
        <v>-0.110320284697509</v>
      </c>
      <c r="I25" s="29" t="n">
        <f aca="false">G25^(1/C25)-1</f>
        <v>-0.0456812087220062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14</v>
      </c>
      <c r="E26" s="26" t="n">
        <v>20</v>
      </c>
      <c r="F26" s="27" t="n">
        <f aca="false">D26*E26</f>
        <v>280</v>
      </c>
      <c r="G26" s="28" t="n">
        <f aca="false">F26/B12</f>
        <v>1.99288256227758</v>
      </c>
      <c r="H26" s="29" t="n">
        <f aca="false">G26-1</f>
        <v>0.99288256227758</v>
      </c>
      <c r="I26" s="29" t="n">
        <f aca="false">G26^(1/C26)-1</f>
        <v>0.217772610845543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30</v>
      </c>
      <c r="E27" s="26" t="n">
        <v>22</v>
      </c>
      <c r="F27" s="27" t="n">
        <f aca="false">D27*E27</f>
        <v>660</v>
      </c>
      <c r="G27" s="28" t="n">
        <f aca="false">F27/B12</f>
        <v>4.69750889679715</v>
      </c>
      <c r="H27" s="29" t="n">
        <f aca="false">G27-1</f>
        <v>3.69750889679715</v>
      </c>
      <c r="I27" s="29" t="n">
        <f aca="false">G27^(1/C27)-1</f>
        <v>0.410275345515255</v>
      </c>
    </row>
    <row r="28" customFormat="false" ht="30" hidden="false" customHeight="true" outlineLevel="0" collapsed="false">
      <c r="A28" s="18" t="s">
        <v>309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35.0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310</v>
      </c>
      <c r="E32" s="25" t="n">
        <v>150</v>
      </c>
      <c r="F32" s="28" t="n">
        <f aca="false">E32/B12</f>
        <v>1.06761565836299</v>
      </c>
      <c r="G32" s="29" t="n">
        <f aca="false">F32-1</f>
        <v>0.0676156583629892</v>
      </c>
      <c r="H32" s="29" t="n">
        <f aca="false">F32^(1/C32)-1</f>
        <v>0.0265165931495233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311</v>
      </c>
      <c r="E33" s="25" t="n">
        <v>340</v>
      </c>
      <c r="F33" s="28" t="n">
        <f aca="false">E33/B12</f>
        <v>2.41992882562278</v>
      </c>
      <c r="G33" s="29" t="n">
        <f aca="false">F33-1</f>
        <v>1.41992882562278</v>
      </c>
      <c r="H33" s="29" t="n">
        <f aca="false">F33^(1/C33)-1</f>
        <v>0.287235130153444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312</v>
      </c>
      <c r="E34" s="25" t="n">
        <v>700</v>
      </c>
      <c r="F34" s="28" t="n">
        <f aca="false">E34/B12</f>
        <v>4.98220640569395</v>
      </c>
      <c r="G34" s="29" t="n">
        <f aca="false">F34-1</f>
        <v>3.98220640569395</v>
      </c>
      <c r="H34" s="29" t="n">
        <f aca="false">F34^(1/C34)-1</f>
        <v>0.428836722581161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310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2.20640569395018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1.20640569395018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0.253706333606649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0.889679715302491</v>
      </c>
      <c r="C40" s="30" t="n">
        <f aca="false">MAX(G27,F34)</f>
        <v>4.98220640569395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2.13793103448276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313</v>
      </c>
    </row>
    <row r="45" customFormat="false" ht="15" hidden="false" customHeight="false" outlineLevel="0" collapsed="false">
      <c r="A45" s="2" t="s">
        <v>314</v>
      </c>
    </row>
    <row r="46" customFormat="false" ht="15" hidden="false" customHeight="false" outlineLevel="0" collapsed="false">
      <c r="A46" s="2" t="s">
        <v>315</v>
      </c>
    </row>
    <row r="47" customFormat="false" ht="15" hidden="false" customHeight="false" outlineLevel="0" collapsed="false">
      <c r="A47" s="2" t="s">
        <v>316</v>
      </c>
    </row>
    <row r="48" customFormat="false" ht="15" hidden="false" customHeight="false" outlineLevel="0" collapsed="false">
      <c r="A48" s="2" t="s">
        <v>317</v>
      </c>
    </row>
    <row r="49" customFormat="false" ht="15" hidden="false" customHeight="false" outlineLevel="0" collapsed="false">
      <c r="A49" s="2" t="s">
        <v>318</v>
      </c>
    </row>
    <row r="50" customFormat="false" ht="15" hidden="false" customHeight="false" outlineLevel="0" collapsed="false">
      <c r="A50" s="2" t="s">
        <v>319</v>
      </c>
    </row>
    <row r="51" customFormat="false" ht="15" hidden="false" customHeight="false" outlineLevel="0" collapsed="false">
      <c r="A51" s="2" t="s">
        <v>320</v>
      </c>
    </row>
    <row r="52" customFormat="false" ht="15" hidden="false" customHeight="false" outlineLevel="0" collapsed="false">
      <c r="A52" s="2" t="s">
        <v>321</v>
      </c>
    </row>
    <row r="53" customFormat="false" ht="15" hidden="false" customHeight="false" outlineLevel="0" collapsed="false">
      <c r="A53" s="2" t="s">
        <v>322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2" t="s">
        <v>64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65</v>
      </c>
    </row>
    <row r="6" customFormat="false" ht="15" hidden="false" customHeight="false" outlineLevel="0" collapsed="false">
      <c r="A6" s="14" t="s">
        <v>101</v>
      </c>
      <c r="B6" s="15" t="n">
        <v>5</v>
      </c>
    </row>
    <row r="7" customFormat="false" ht="15" hidden="false" customHeight="false" outlineLevel="0" collapsed="false">
      <c r="A7" s="14" t="s">
        <v>102</v>
      </c>
      <c r="B7" s="15" t="n">
        <v>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5.4</v>
      </c>
    </row>
    <row r="11" customFormat="false" ht="15" hidden="false" customHeight="false" outlineLevel="0" collapsed="false">
      <c r="A11" s="14" t="s">
        <v>106</v>
      </c>
      <c r="B11" s="15" t="n">
        <v>5.75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5.575</v>
      </c>
    </row>
    <row r="13" customFormat="false" ht="42" hidden="false" customHeight="true" outlineLevel="0" collapsed="false">
      <c r="A13" s="14" t="s">
        <v>108</v>
      </c>
      <c r="B13" s="18" t="s">
        <v>323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324</v>
      </c>
      <c r="B17" s="21" t="n">
        <v>8.5</v>
      </c>
      <c r="C17" s="22" t="s">
        <v>325</v>
      </c>
    </row>
    <row r="18" customFormat="false" ht="15" hidden="false" customHeight="false" outlineLevel="0" collapsed="false">
      <c r="A18" s="20" t="s">
        <v>326</v>
      </c>
      <c r="B18" s="21" t="n">
        <v>2.1</v>
      </c>
      <c r="C18" s="22" t="s">
        <v>327</v>
      </c>
    </row>
    <row r="19" customFormat="false" ht="15" hidden="false" customHeight="false" outlineLevel="0" collapsed="false">
      <c r="A19" s="20" t="s">
        <v>328</v>
      </c>
      <c r="B19" s="21" t="n">
        <v>1.3</v>
      </c>
      <c r="C19" s="22" t="s">
        <v>329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1</v>
      </c>
      <c r="E25" s="26" t="n">
        <v>4</v>
      </c>
      <c r="F25" s="27" t="n">
        <f aca="false">D25*E25</f>
        <v>4</v>
      </c>
      <c r="G25" s="28" t="n">
        <f aca="false">F25/B12</f>
        <v>0.717488789237668</v>
      </c>
      <c r="H25" s="29" t="n">
        <f aca="false">G25-1</f>
        <v>-0.282511210762332</v>
      </c>
      <c r="I25" s="29" t="n">
        <f aca="false">G25^(1/C25)-1</f>
        <v>-0.124359081517876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1.6</v>
      </c>
      <c r="E26" s="26" t="n">
        <v>7</v>
      </c>
      <c r="F26" s="27" t="n">
        <f aca="false">D26*E26</f>
        <v>11.2</v>
      </c>
      <c r="G26" s="28" t="n">
        <f aca="false">F26/B12</f>
        <v>2.00896860986547</v>
      </c>
      <c r="H26" s="29" t="n">
        <f aca="false">G26-1</f>
        <v>1.00896860986547</v>
      </c>
      <c r="I26" s="29" t="n">
        <f aca="false">G26^(1/C26)-1</f>
        <v>0.220572996095137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2.6</v>
      </c>
      <c r="E27" s="26" t="n">
        <v>9</v>
      </c>
      <c r="F27" s="27" t="n">
        <f aca="false">D27*E27</f>
        <v>23.4</v>
      </c>
      <c r="G27" s="28" t="n">
        <f aca="false">F27/B12</f>
        <v>4.19730941704036</v>
      </c>
      <c r="H27" s="29" t="n">
        <f aca="false">G27-1</f>
        <v>3.19730941704036</v>
      </c>
      <c r="I27" s="29" t="n">
        <f aca="false">G27^(1/C27)-1</f>
        <v>0.375428429644104</v>
      </c>
    </row>
    <row r="28" customFormat="false" ht="30" hidden="false" customHeight="true" outlineLevel="0" collapsed="false">
      <c r="A28" s="18" t="s">
        <v>330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331</v>
      </c>
      <c r="E32" s="25" t="n">
        <v>5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-0.0426074293387878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332</v>
      </c>
      <c r="E33" s="25" t="n">
        <v>14.5</v>
      </c>
      <c r="F33" s="28" t="n">
        <f aca="false">E33/B12</f>
        <v>2.60089686098655</v>
      </c>
      <c r="G33" s="29" t="n">
        <f aca="false">F33-1</f>
        <v>1.60089686098655</v>
      </c>
      <c r="H33" s="29" t="n">
        <f aca="false">F33^(1/C33)-1</f>
        <v>0.314034018722216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333</v>
      </c>
      <c r="E34" s="25" t="n">
        <v>26</v>
      </c>
      <c r="F34" s="28" t="n">
        <f aca="false">E34/B12</f>
        <v>4.66367713004484</v>
      </c>
      <c r="G34" s="29" t="n">
        <f aca="false">F34-1</f>
        <v>3.66367713004484</v>
      </c>
      <c r="H34" s="29" t="n">
        <f aca="false">F34^(1/C34)-1</f>
        <v>0.408011908871801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12.85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2.30493273542601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1.30493273542601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0.269453053461715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0.717488789237668</v>
      </c>
      <c r="C40" s="30" t="n">
        <f aca="false">MAX(G27,F34)</f>
        <v>4.66367713004484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2.23478260869565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334</v>
      </c>
    </row>
    <row r="45" customFormat="false" ht="15" hidden="false" customHeight="false" outlineLevel="0" collapsed="false">
      <c r="A45" s="2" t="s">
        <v>335</v>
      </c>
    </row>
    <row r="46" customFormat="false" ht="15" hidden="false" customHeight="false" outlineLevel="0" collapsed="false">
      <c r="A46" s="2" t="s">
        <v>336</v>
      </c>
    </row>
    <row r="47" customFormat="false" ht="15" hidden="false" customHeight="false" outlineLevel="0" collapsed="false">
      <c r="A47" s="2" t="s">
        <v>337</v>
      </c>
    </row>
    <row r="48" customFormat="false" ht="15" hidden="false" customHeight="false" outlineLevel="0" collapsed="false">
      <c r="A48" s="2" t="s">
        <v>338</v>
      </c>
    </row>
    <row r="49" customFormat="false" ht="15" hidden="false" customHeight="false" outlineLevel="0" collapsed="false">
      <c r="A49" s="2" t="s">
        <v>339</v>
      </c>
    </row>
    <row r="50" customFormat="false" ht="15" hidden="false" customHeight="false" outlineLevel="0" collapsed="false">
      <c r="A50" s="2" t="s">
        <v>340</v>
      </c>
    </row>
    <row r="51" customFormat="false" ht="15" hidden="false" customHeight="false" outlineLevel="0" collapsed="false">
      <c r="A51" s="2" t="s">
        <v>341</v>
      </c>
    </row>
    <row r="52" customFormat="false" ht="15" hidden="false" customHeight="false" outlineLevel="0" collapsed="false">
      <c r="A52" s="2" t="s">
        <v>342</v>
      </c>
    </row>
    <row r="53" customFormat="false" ht="15" hidden="false" customHeight="false" outlineLevel="0" collapsed="false">
      <c r="A53" s="2" t="s">
        <v>343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69</v>
      </c>
    </row>
    <row r="6" customFormat="false" ht="15" hidden="false" customHeight="false" outlineLevel="0" collapsed="false">
      <c r="A6" s="14" t="s">
        <v>101</v>
      </c>
      <c r="B6" s="15" t="n">
        <v>35</v>
      </c>
    </row>
    <row r="7" customFormat="false" ht="15" hidden="false" customHeight="false" outlineLevel="0" collapsed="false">
      <c r="A7" s="14" t="s">
        <v>102</v>
      </c>
      <c r="B7" s="15" t="n">
        <v>35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38</v>
      </c>
    </row>
    <row r="11" customFormat="false" ht="15" hidden="false" customHeight="false" outlineLevel="0" collapsed="false">
      <c r="A11" s="14" t="s">
        <v>106</v>
      </c>
      <c r="B11" s="15" t="n">
        <v>42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40</v>
      </c>
    </row>
    <row r="13" customFormat="false" ht="42" hidden="false" customHeight="true" outlineLevel="0" collapsed="false">
      <c r="A13" s="14" t="s">
        <v>108</v>
      </c>
      <c r="B13" s="18" t="s">
        <v>344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345</v>
      </c>
      <c r="B17" s="21" t="n">
        <v>15</v>
      </c>
      <c r="C17" s="22" t="s">
        <v>346</v>
      </c>
    </row>
    <row r="18" customFormat="false" ht="15" hidden="false" customHeight="false" outlineLevel="0" collapsed="false">
      <c r="A18" s="20" t="s">
        <v>17</v>
      </c>
      <c r="B18" s="21" t="n">
        <v>21</v>
      </c>
      <c r="C18" s="22" t="s">
        <v>346</v>
      </c>
    </row>
    <row r="19" customFormat="false" ht="15" hidden="false" customHeight="false" outlineLevel="0" collapsed="false">
      <c r="A19" s="20" t="s">
        <v>347</v>
      </c>
      <c r="B19" s="21" t="n">
        <v>0</v>
      </c>
      <c r="C19" s="22" t="s">
        <v>348</v>
      </c>
    </row>
    <row r="20" customFormat="false" ht="15" hidden="false" customHeight="false" outlineLevel="0" collapsed="false">
      <c r="A20" s="20" t="s">
        <v>349</v>
      </c>
      <c r="B20" s="21" t="n">
        <v>0</v>
      </c>
      <c r="C20" s="22" t="s">
        <v>350</v>
      </c>
    </row>
    <row r="21" customFormat="false" ht="15" hidden="false" customHeight="false" outlineLevel="0" collapsed="false">
      <c r="A21" s="20" t="s">
        <v>351</v>
      </c>
      <c r="B21" s="21" t="n">
        <v>1.9</v>
      </c>
      <c r="C21" s="22" t="s">
        <v>352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0.6</v>
      </c>
      <c r="E25" s="26" t="n">
        <v>45</v>
      </c>
      <c r="F25" s="27" t="n">
        <f aca="false">D25*E25</f>
        <v>27</v>
      </c>
      <c r="G25" s="28" t="n">
        <f aca="false">F25/B12</f>
        <v>0.675</v>
      </c>
      <c r="H25" s="29" t="n">
        <f aca="false">G25-1</f>
        <v>-0.325</v>
      </c>
      <c r="I25" s="29" t="n">
        <f aca="false">G25^(1/C25)-1</f>
        <v>-0.325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1.2</v>
      </c>
      <c r="E26" s="26" t="n">
        <v>70</v>
      </c>
      <c r="F26" s="27" t="n">
        <f aca="false">D26*E26</f>
        <v>84</v>
      </c>
      <c r="G26" s="28" t="n">
        <f aca="false">F26/B12</f>
        <v>2.1</v>
      </c>
      <c r="H26" s="29" t="n">
        <f aca="false">G26-1</f>
        <v>1.1</v>
      </c>
      <c r="I26" s="29" t="n">
        <f aca="false">G26^(1/C26)-1</f>
        <v>0.639882997800068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2.5</v>
      </c>
      <c r="D27" s="25" t="n">
        <v>2.5</v>
      </c>
      <c r="E27" s="26" t="n">
        <v>80</v>
      </c>
      <c r="F27" s="27" t="n">
        <f aca="false">D27*E27</f>
        <v>200</v>
      </c>
      <c r="G27" s="28" t="n">
        <f aca="false">F27/B12</f>
        <v>5</v>
      </c>
      <c r="H27" s="29" t="n">
        <f aca="false">G27-1</f>
        <v>4</v>
      </c>
      <c r="I27" s="29" t="n">
        <f aca="false">G27^(1/C27)-1</f>
        <v>0.903653938715879</v>
      </c>
    </row>
    <row r="28" customFormat="false" ht="30" hidden="false" customHeight="true" outlineLevel="0" collapsed="false">
      <c r="A28" s="18" t="s">
        <v>353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354</v>
      </c>
      <c r="E32" s="25" t="n">
        <v>30</v>
      </c>
      <c r="F32" s="28" t="n">
        <f aca="false">E32/B12</f>
        <v>0.75</v>
      </c>
      <c r="G32" s="29" t="n">
        <f aca="false">F32-1</f>
        <v>-0.25</v>
      </c>
      <c r="H32" s="29" t="n">
        <f aca="false">F32^(1/C32)-1</f>
        <v>-0.25</v>
      </c>
    </row>
    <row r="33" customFormat="false" ht="23.8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355</v>
      </c>
      <c r="E33" s="25" t="n">
        <v>92</v>
      </c>
      <c r="F33" s="28" t="n">
        <f aca="false">E33/B12</f>
        <v>2.3</v>
      </c>
      <c r="G33" s="29" t="n">
        <f aca="false">F33-1</f>
        <v>1.3</v>
      </c>
      <c r="H33" s="29" t="n">
        <f aca="false">F33^(1/C33)-1</f>
        <v>0.742416161578685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2.5</v>
      </c>
      <c r="D34" s="5" t="s">
        <v>356</v>
      </c>
      <c r="E34" s="25" t="n">
        <v>210</v>
      </c>
      <c r="F34" s="28" t="n">
        <f aca="false">E34/B12</f>
        <v>5.25</v>
      </c>
      <c r="G34" s="29" t="n">
        <f aca="false">F34-1</f>
        <v>4.25</v>
      </c>
      <c r="H34" s="29" t="n">
        <f aca="false">F34^(1/C34)-1</f>
        <v>0.941170672751477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88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0.691538111622984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0.675</v>
      </c>
      <c r="C40" s="30" t="n">
        <f aca="false">MAX(G27,F34)</f>
        <v>5.25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2.0952380952381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357</v>
      </c>
    </row>
    <row r="45" customFormat="false" ht="15" hidden="false" customHeight="false" outlineLevel="0" collapsed="false">
      <c r="A45" s="2" t="s">
        <v>358</v>
      </c>
    </row>
    <row r="46" customFormat="false" ht="15" hidden="false" customHeight="false" outlineLevel="0" collapsed="false">
      <c r="A46" s="2" t="s">
        <v>359</v>
      </c>
    </row>
    <row r="47" customFormat="false" ht="15" hidden="false" customHeight="false" outlineLevel="0" collapsed="false">
      <c r="A47" s="2" t="s">
        <v>360</v>
      </c>
    </row>
    <row r="48" customFormat="false" ht="15" hidden="false" customHeight="false" outlineLevel="0" collapsed="false">
      <c r="A48" s="2" t="s">
        <v>361</v>
      </c>
    </row>
    <row r="49" customFormat="false" ht="15" hidden="false" customHeight="false" outlineLevel="0" collapsed="false">
      <c r="A49" s="2" t="s">
        <v>362</v>
      </c>
    </row>
    <row r="50" customFormat="false" ht="15" hidden="false" customHeight="false" outlineLevel="0" collapsed="false">
      <c r="A50" s="2" t="s">
        <v>363</v>
      </c>
    </row>
    <row r="51" customFormat="false" ht="15" hidden="false" customHeight="false" outlineLevel="0" collapsed="false">
      <c r="A51" s="2" t="s">
        <v>364</v>
      </c>
    </row>
    <row r="52" customFormat="false" ht="15" hidden="false" customHeight="false" outlineLevel="0" collapsed="false">
      <c r="A52" s="2" t="s">
        <v>365</v>
      </c>
    </row>
    <row r="53" customFormat="false" ht="15" hidden="false" customHeight="false" outlineLevel="0" collapsed="false">
      <c r="A53" s="2" t="s">
        <v>366</v>
      </c>
    </row>
    <row r="54" customFormat="false" ht="15" hidden="false" customHeight="false" outlineLevel="0" collapsed="false">
      <c r="A54" s="2" t="s">
        <v>367</v>
      </c>
    </row>
    <row r="55" customFormat="false" ht="15" hidden="false" customHeight="false" outlineLevel="0" collapsed="false">
      <c r="A55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2" t="s">
        <v>72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73</v>
      </c>
    </row>
    <row r="6" customFormat="false" ht="15" hidden="false" customHeight="false" outlineLevel="0" collapsed="false">
      <c r="A6" s="14" t="s">
        <v>101</v>
      </c>
      <c r="B6" s="15" t="n">
        <v>5.4</v>
      </c>
    </row>
    <row r="7" customFormat="false" ht="15" hidden="false" customHeight="false" outlineLevel="0" collapsed="false">
      <c r="A7" s="14" t="s">
        <v>102</v>
      </c>
      <c r="B7" s="15" t="n">
        <v>5.4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5.85</v>
      </c>
    </row>
    <row r="11" customFormat="false" ht="15" hidden="false" customHeight="false" outlineLevel="0" collapsed="false">
      <c r="A11" s="14" t="s">
        <v>106</v>
      </c>
      <c r="B11" s="15" t="n">
        <v>6.2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6.025</v>
      </c>
    </row>
    <row r="13" customFormat="false" ht="42" hidden="false" customHeight="true" outlineLevel="0" collapsed="false">
      <c r="A13" s="14" t="s">
        <v>108</v>
      </c>
      <c r="B13" s="18" t="s">
        <v>368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369</v>
      </c>
      <c r="B17" s="21" t="n">
        <v>40</v>
      </c>
      <c r="C17" s="22" t="s">
        <v>370</v>
      </c>
    </row>
    <row r="18" customFormat="false" ht="15" hidden="false" customHeight="false" outlineLevel="0" collapsed="false">
      <c r="A18" s="20" t="s">
        <v>371</v>
      </c>
      <c r="B18" s="21" t="n">
        <v>33</v>
      </c>
      <c r="C18" s="22" t="s">
        <v>372</v>
      </c>
    </row>
    <row r="19" customFormat="false" ht="15" hidden="false" customHeight="false" outlineLevel="0" collapsed="false">
      <c r="A19" s="20" t="s">
        <v>373</v>
      </c>
      <c r="B19" s="21" t="n">
        <v>26.7</v>
      </c>
      <c r="C19" s="22" t="s">
        <v>346</v>
      </c>
    </row>
    <row r="20" customFormat="false" ht="15" hidden="false" customHeight="false" outlineLevel="0" collapsed="false">
      <c r="A20" s="20" t="s">
        <v>374</v>
      </c>
      <c r="B20" s="21" t="n">
        <v>17.7</v>
      </c>
      <c r="C20" s="22" t="s">
        <v>346</v>
      </c>
    </row>
    <row r="21" customFormat="false" ht="15" hidden="false" customHeight="false" outlineLevel="0" collapsed="false">
      <c r="A21" s="20" t="s">
        <v>375</v>
      </c>
      <c r="B21" s="21" t="n">
        <v>7.7</v>
      </c>
      <c r="C21" s="22" t="s">
        <v>376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0.3</v>
      </c>
      <c r="E25" s="26" t="n">
        <v>10</v>
      </c>
      <c r="F25" s="27" t="n">
        <f aca="false">D25*E25</f>
        <v>3</v>
      </c>
      <c r="G25" s="28" t="n">
        <f aca="false">F25/B12</f>
        <v>0.497925311203319</v>
      </c>
      <c r="H25" s="29" t="n">
        <f aca="false">G25-1</f>
        <v>-0.502074688796681</v>
      </c>
      <c r="I25" s="29" t="n">
        <f aca="false">G25^(1/C25)-1</f>
        <v>-0.371783311809605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0.75</v>
      </c>
      <c r="E26" s="26" t="n">
        <v>20</v>
      </c>
      <c r="F26" s="27" t="n">
        <f aca="false">D26*E26</f>
        <v>15</v>
      </c>
      <c r="G26" s="28" t="n">
        <f aca="false">F26/B12</f>
        <v>2.4896265560166</v>
      </c>
      <c r="H26" s="29" t="n">
        <f aca="false">G26-1</f>
        <v>1.4896265560166</v>
      </c>
      <c r="I26" s="29" t="n">
        <f aca="false">G26^(1/C26)-1</f>
        <v>0.440302395893987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1.6</v>
      </c>
      <c r="E27" s="26" t="n">
        <v>25</v>
      </c>
      <c r="F27" s="27" t="n">
        <f aca="false">D27*E27</f>
        <v>40</v>
      </c>
      <c r="G27" s="28" t="n">
        <f aca="false">F27/B12</f>
        <v>6.63900414937759</v>
      </c>
      <c r="H27" s="29" t="n">
        <f aca="false">G27-1</f>
        <v>5.63900414937759</v>
      </c>
      <c r="I27" s="29" t="n">
        <f aca="false">G27^(1/C27)-1</f>
        <v>0.717459696556446</v>
      </c>
    </row>
    <row r="28" customFormat="false" ht="30" hidden="false" customHeight="true" outlineLevel="0" collapsed="false">
      <c r="A28" s="18" t="s">
        <v>377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378</v>
      </c>
      <c r="E32" s="25" t="n">
        <v>3.5</v>
      </c>
      <c r="F32" s="28" t="n">
        <f aca="false">E32/B12</f>
        <v>0.580912863070539</v>
      </c>
      <c r="G32" s="29" t="n">
        <f aca="false">F32-1</f>
        <v>-0.419087136929461</v>
      </c>
      <c r="H32" s="29" t="n">
        <f aca="false">F32^(1/C32)-1</f>
        <v>-0.303789350599289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379</v>
      </c>
      <c r="E33" s="25" t="n">
        <v>16.3</v>
      </c>
      <c r="F33" s="28" t="n">
        <f aca="false">E33/B12</f>
        <v>2.70539419087137</v>
      </c>
      <c r="G33" s="29" t="n">
        <f aca="false">F33-1</f>
        <v>1.70539419087137</v>
      </c>
      <c r="H33" s="29" t="n">
        <f aca="false">F33^(1/C33)-1</f>
        <v>0.488991509258602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380</v>
      </c>
      <c r="E34" s="25" t="n">
        <v>45</v>
      </c>
      <c r="F34" s="28" t="n">
        <f aca="false">E34/B12</f>
        <v>7.46887966804979</v>
      </c>
      <c r="G34" s="29" t="n">
        <f aca="false">F34-1</f>
        <v>6.46887966804979</v>
      </c>
      <c r="H34" s="29" t="n">
        <f aca="false">F34^(1/C34)-1</f>
        <v>0.776239651542579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15.65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2.59751037344398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1.59751037344398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0.464950385062174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0.497925311203319</v>
      </c>
      <c r="C40" s="30" t="n">
        <f aca="false">MAX(G27,F34)</f>
        <v>7.46887966804979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2.5241935483871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381</v>
      </c>
    </row>
    <row r="45" customFormat="false" ht="15" hidden="false" customHeight="false" outlineLevel="0" collapsed="false">
      <c r="A45" s="2" t="s">
        <v>382</v>
      </c>
    </row>
    <row r="46" customFormat="false" ht="15" hidden="false" customHeight="false" outlineLevel="0" collapsed="false">
      <c r="A46" s="2" t="s">
        <v>383</v>
      </c>
    </row>
    <row r="47" customFormat="false" ht="15" hidden="false" customHeight="false" outlineLevel="0" collapsed="false">
      <c r="A47" s="2" t="s">
        <v>384</v>
      </c>
    </row>
    <row r="48" customFormat="false" ht="15" hidden="false" customHeight="false" outlineLevel="0" collapsed="false">
      <c r="A48" s="2" t="s">
        <v>385</v>
      </c>
    </row>
    <row r="49" customFormat="false" ht="15" hidden="false" customHeight="false" outlineLevel="0" collapsed="false">
      <c r="A49" s="2" t="s">
        <v>386</v>
      </c>
    </row>
    <row r="50" customFormat="false" ht="15" hidden="false" customHeight="false" outlineLevel="0" collapsed="false">
      <c r="A50" s="2" t="s">
        <v>387</v>
      </c>
    </row>
    <row r="51" customFormat="false" ht="15" hidden="false" customHeight="false" outlineLevel="0" collapsed="false">
      <c r="A51" s="2" t="s">
        <v>388</v>
      </c>
    </row>
    <row r="52" customFormat="false" ht="15" hidden="false" customHeight="false" outlineLevel="0" collapsed="false">
      <c r="A52" s="2" t="s">
        <v>389</v>
      </c>
    </row>
    <row r="53" customFormat="false" ht="15" hidden="false" customHeight="false" outlineLevel="0" collapsed="false">
      <c r="A53" s="2" t="s">
        <v>390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12" t="s">
        <v>76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77</v>
      </c>
    </row>
    <row r="6" customFormat="false" ht="15" hidden="false" customHeight="false" outlineLevel="0" collapsed="false">
      <c r="A6" s="14" t="s">
        <v>101</v>
      </c>
      <c r="B6" s="15" t="n">
        <v>5.9</v>
      </c>
    </row>
    <row r="7" customFormat="false" ht="15" hidden="false" customHeight="false" outlineLevel="0" collapsed="false">
      <c r="A7" s="14" t="s">
        <v>102</v>
      </c>
      <c r="B7" s="15" t="n">
        <v>5.9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9</v>
      </c>
    </row>
    <row r="11" customFormat="false" ht="15" hidden="false" customHeight="false" outlineLevel="0" collapsed="false">
      <c r="A11" s="14" t="s">
        <v>106</v>
      </c>
      <c r="B11" s="15" t="n">
        <v>12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10.5</v>
      </c>
    </row>
    <row r="13" customFormat="false" ht="42" hidden="false" customHeight="true" outlineLevel="0" collapsed="false">
      <c r="A13" s="14" t="s">
        <v>108</v>
      </c>
      <c r="B13" s="18" t="s">
        <v>391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392</v>
      </c>
      <c r="B17" s="21" t="n">
        <v>7</v>
      </c>
      <c r="C17" s="22" t="s">
        <v>393</v>
      </c>
    </row>
    <row r="18" customFormat="false" ht="15" hidden="false" customHeight="false" outlineLevel="0" collapsed="false">
      <c r="A18" s="20" t="s">
        <v>394</v>
      </c>
      <c r="B18" s="21" t="n">
        <v>8.5</v>
      </c>
      <c r="C18" s="22" t="s">
        <v>395</v>
      </c>
    </row>
    <row r="19" customFormat="false" ht="15" hidden="false" customHeight="false" outlineLevel="0" collapsed="false">
      <c r="A19" s="20" t="s">
        <v>396</v>
      </c>
      <c r="B19" s="21" t="n">
        <v>8.3</v>
      </c>
      <c r="C19" s="22" t="s">
        <v>346</v>
      </c>
    </row>
    <row r="20" customFormat="false" ht="15" hidden="false" customHeight="false" outlineLevel="0" collapsed="false">
      <c r="A20" s="20" t="s">
        <v>397</v>
      </c>
      <c r="B20" s="21" t="n">
        <v>13.6</v>
      </c>
      <c r="C20" s="22" t="s">
        <v>398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2.5</v>
      </c>
      <c r="E25" s="26" t="n">
        <v>3</v>
      </c>
      <c r="F25" s="27" t="n">
        <f aca="false">D25*E25</f>
        <v>7.5</v>
      </c>
      <c r="G25" s="28" t="n">
        <f aca="false">F25/B12</f>
        <v>0.714285714285714</v>
      </c>
      <c r="H25" s="29" t="n">
        <f aca="false">G25-1</f>
        <v>-0.285714285714286</v>
      </c>
      <c r="I25" s="29" t="n">
        <f aca="false">G25^(1/C25)-1</f>
        <v>-0.200936469941859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4.5</v>
      </c>
      <c r="E26" s="26" t="n">
        <v>5</v>
      </c>
      <c r="F26" s="27" t="n">
        <f aca="false">D26*E26</f>
        <v>22.5</v>
      </c>
      <c r="G26" s="28" t="n">
        <f aca="false">F26/B12</f>
        <v>2.14285714285714</v>
      </c>
      <c r="H26" s="29" t="n">
        <f aca="false">G26-1</f>
        <v>1.14285714285714</v>
      </c>
      <c r="I26" s="29" t="n">
        <f aca="false">G26^(1/C26)-1</f>
        <v>0.356429691309786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8</v>
      </c>
      <c r="E27" s="26" t="n">
        <v>6.5</v>
      </c>
      <c r="F27" s="27" t="n">
        <f aca="false">D27*E27</f>
        <v>52</v>
      </c>
      <c r="G27" s="28" t="n">
        <f aca="false">F27/B12</f>
        <v>4.95238095238095</v>
      </c>
      <c r="H27" s="29" t="n">
        <f aca="false">G27-1</f>
        <v>3.95238095238095</v>
      </c>
      <c r="I27" s="29" t="n">
        <f aca="false">G27^(1/C27)-1</f>
        <v>0.579495156361438</v>
      </c>
    </row>
    <row r="28" customFormat="false" ht="30" hidden="false" customHeight="true" outlineLevel="0" collapsed="false">
      <c r="A28" s="18" t="s">
        <v>399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400</v>
      </c>
      <c r="E32" s="25" t="n">
        <v>8</v>
      </c>
      <c r="F32" s="28" t="n">
        <f aca="false">E32/B12</f>
        <v>0.761904761904762</v>
      </c>
      <c r="G32" s="29" t="n">
        <f aca="false">F32-1</f>
        <v>-0.238095238095238</v>
      </c>
      <c r="H32" s="29" t="n">
        <f aca="false">F32^(1/C32)-1</f>
        <v>-0.165805878116593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401</v>
      </c>
      <c r="E33" s="25" t="n">
        <v>27.5</v>
      </c>
      <c r="F33" s="28" t="n">
        <f aca="false">E33/B12</f>
        <v>2.61904761904762</v>
      </c>
      <c r="G33" s="29" t="n">
        <f aca="false">F33-1</f>
        <v>1.61904761904762</v>
      </c>
      <c r="H33" s="29" t="n">
        <f aca="false">F33^(1/C33)-1</f>
        <v>0.469797004390423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402</v>
      </c>
      <c r="E34" s="25" t="n">
        <v>60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2.38095238095238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1.38095238095238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0.41481704664972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0.714285714285714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2.08333333333333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403</v>
      </c>
    </row>
    <row r="45" customFormat="false" ht="15" hidden="false" customHeight="false" outlineLevel="0" collapsed="false">
      <c r="A45" s="2" t="s">
        <v>404</v>
      </c>
    </row>
    <row r="46" customFormat="false" ht="15" hidden="false" customHeight="false" outlineLevel="0" collapsed="false">
      <c r="A46" s="2" t="s">
        <v>405</v>
      </c>
    </row>
    <row r="47" customFormat="false" ht="15" hidden="false" customHeight="false" outlineLevel="0" collapsed="false">
      <c r="A47" s="2" t="s">
        <v>406</v>
      </c>
    </row>
    <row r="48" customFormat="false" ht="15" hidden="false" customHeight="false" outlineLevel="0" collapsed="false">
      <c r="A48" s="2" t="s">
        <v>407</v>
      </c>
    </row>
    <row r="49" customFormat="false" ht="15" hidden="false" customHeight="false" outlineLevel="0" collapsed="false">
      <c r="A49" s="2" t="s">
        <v>408</v>
      </c>
    </row>
    <row r="50" customFormat="false" ht="15" hidden="false" customHeight="false" outlineLevel="0" collapsed="false">
      <c r="A50" s="2" t="s">
        <v>409</v>
      </c>
    </row>
    <row r="51" customFormat="false" ht="15" hidden="false" customHeight="false" outlineLevel="0" collapsed="false">
      <c r="A51" s="2" t="s">
        <v>410</v>
      </c>
    </row>
    <row r="52" customFormat="false" ht="15" hidden="false" customHeight="false" outlineLevel="0" collapsed="false">
      <c r="A52" s="2" t="s">
        <v>411</v>
      </c>
    </row>
    <row r="53" customFormat="false" ht="15" hidden="false" customHeight="false" outlineLevel="0" collapsed="false">
      <c r="A53" s="2" t="s">
        <v>412</v>
      </c>
    </row>
    <row r="54" customFormat="false" ht="15" hidden="false" customHeight="false" outlineLevel="0" collapsed="false">
      <c r="A54" s="2" t="s">
        <v>413</v>
      </c>
    </row>
    <row r="55" customFormat="false" ht="15" hidden="false" customHeight="false" outlineLevel="0" collapsed="false">
      <c r="A55" s="2" t="s">
        <v>414</v>
      </c>
    </row>
    <row r="56" customFormat="false" ht="15" hidden="false" customHeight="false" outlineLevel="0" collapsed="false">
      <c r="A56" s="2" t="s">
        <v>415</v>
      </c>
    </row>
    <row r="57" customFormat="false" ht="15" hidden="false" customHeight="false" outlineLevel="0" collapsed="false">
      <c r="A5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2026-09-02T13:36:15Z</dcterms:created>
  <dc:creator>openpyxl</dc:creator>
  <dc:description/>
  <dc:language>en-US</dc:language>
  <cp:lastModifiedBy/>
  <dcterms:modified xsi:type="dcterms:W3CDTF">2026-09-02T13:36:16Z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
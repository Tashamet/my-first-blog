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Positron AI" sheetId="7" state="visible" r:id="rId9"/>
    <sheet name="Databricks" sheetId="8" state="visible" r:id="rId10"/>
    <sheet name="VAST Data" sheetId="9" state="visible" r:id="rId11"/>
    <sheet name="ByteDance" sheetId="10" state="visible" r:id="rId12"/>
    <sheet name="Glean" sheetId="11" state="visible" r:id="rId13"/>
    <sheet name="Lightmatter" sheetId="12" state="visible" r:id="rId14"/>
    <sheet name="PsiQuantum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<sst xmlns="http://schemas.openxmlformats.org/spreadsheetml/2006/main" count="898" uniqueCount="283">
  <si>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</si>
  <si>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</si>
  <si>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</si>
  <si>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</si>
  <si>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</si>
  <si>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</si>
  <si>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</si>
  <si>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</si>
  <si>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</si>
  <si>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</si>
  <si>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</si>
  <si>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</si>
  <si>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</si>
  <si>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</si>
  <si>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</si>
  <si>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</si>
  <si>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</si>
  <si>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</si>
  <si>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</si>
  <si>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</si>
  <si>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1–1.5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</si>
  <si>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</si>
  <si>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</si>
  <si>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</si>
  <si>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</si>
  <si>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</si>
  <si>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</si>
  <si>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</si>
  <si>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</si>
  <si>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</si>
  <si>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</si>
  <si>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</si>
  <si>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</si>
  <si>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</si>
  <si>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</si>
  <si>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</si>
  <si>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</si>
  <si>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</si>
  <si>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</si>
  <si>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</si>
  <si>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</si>
  <si>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</si>
  <si>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</si>
  <si>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</si>
  <si>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</si>
  <si>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</si>
  <si>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</si>
  <si>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</si>
  <si>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</si>
  <si>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Glean</t>
  </si>
  <si>
    <t xml:space="preserve">Корпоративный ИИ-поиск</t>
  </si>
  <si>
    <t xml:space="preserve">Series F $150 млн, закрыт 10.06.2025; лид Wellington Management</t>
  </si>
  <si>
    <t xml:space="preserve">Lightmatter</t>
  </si>
  <si>
    <t xml:space="preserve">Фотоника для ИИ-дата-центров</t>
  </si>
  <si>
    <t xml:space="preserve">Series D $400 млн, закрыт в октябре 2024; лид T. Rowe Price (Fidelity, GV, Viking Global, Lockheed Martin)</t>
  </si>
  <si>
    <t xml:space="preserve">PsiQuantum</t>
  </si>
  <si>
    <t xml:space="preserve">Квантовые вычисления</t>
  </si>
  <si>
    <t xml:space="preserve">Series E $1.0 млрд, объявлен 10.09.2025; лиды BlackRock, Baillie Gifford, Temasek (с NVentures/NVIDIA, QIA, Macquarie)</t>
  </si>
  <si>
    <t xml:space="preserve">4–5 лет (IPO 2029–2030)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</si>
  <si>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</si>
  <si>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</si>
  <si>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</si>
  <si>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</si>
  <si>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</si>
  <si>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</si>
  <si>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</si>
  <si>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</si>
  <si>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</si>
  <si>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</si>
  <si>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</si>
  <si>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</si>
  <si>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</si>
  <si>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</si>
  <si>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</si>
  <si>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</si>
  <si>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</si>
  <si>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</si>
  <si>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</si>
  <si>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</si>
  <si>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</si>
  <si>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</si>
  <si>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</si>
  <si>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</si>
  <si>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</si>
  <si>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</si>
  <si>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</si>
  <si>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</si>
  <si>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</si>
  <si>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</si>
  <si>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</si>
  <si>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</si>
  <si>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</si>
  <si>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</si>
  <si>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</si>
  <si>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</si>
  <si>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</si>
  <si>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</si>
  <si>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</si>
  <si>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</si>
  <si>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</si>
  <si>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</si>
  <si>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</si>
  <si>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</si>
  <si>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</si>
  <si>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</si>
  <si>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</si>
  <si>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</si>
  <si>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</si>
  <si>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</si>
  <si>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</si>
  <si>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</si>
  <si>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</si>
  <si>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</si>
  <si>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</si>
  <si>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</si>
  <si>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</si>
  <si>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</si>
  <si>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</si>
  <si>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</si>
  <si>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</si>
  <si>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</si>
  <si>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</si>
  <si>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</si>
  <si>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</si>
  <si>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</si>
  <si>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</si>
  <si>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</si>
  <si>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</si>
  <si>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</si>
  <si>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</si>
  <si>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</si>
  <si>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</si>
  <si>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</si>
  <si>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</si>
  <si>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</si>
  <si>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</si>
  <si>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</si>
  <si>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</si>
  <si>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</si>
  <si>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</si>
  <si>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</si>
  <si>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</si>
  <si>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</si>
  <si>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</si>
  <si>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</si>
  <si>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</si>
  <si>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</si>
  <si>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</si>
  <si>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</si>
  <si>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</si>
  <si>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</si>
  <si>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</si>
  <si>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</si>
  <si>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</si>
  <si>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</si>
  <si>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250–350 тыс. штук к 2029 при $20 тыс. за робота или $6 тыс./год подписки даёт выручку $4–6 млрд (базовый сценарий — $5 млрд).</t>
  </si>
  <si>
    <t xml:space="preserve">Оценка на уровне идущего Series C ($10 млрд)</t>
  </si>
  <si>
    <t xml:space="preserve">Паритет с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</si>
  <si>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</si>
  <si>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</si>
  <si>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</si>
  <si>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</si>
  <si>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</si>
  <si>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</si>
  <si>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</si>
  <si>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</si>
  <si>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</si>
  <si>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</si>
  <si>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</si>
  <si>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</si>
  <si>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</si>
  <si>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</si>
  <si>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</si>
  <si>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</si>
  <si>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</si>
  <si>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</si>
  <si>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</si>
  <si>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</si>
  <si>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</si>
  <si>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</si>
  <si>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</si>
  <si>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</si>
  <si>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</si>
  <si>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</si>
  <si>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</si>
  <si>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</si>
  <si>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</si>
  <si>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</si>
  <si>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</si>
  <si>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</si>
  <si>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</si>
  <si>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</si>
  <si>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</si>
  <si>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</si>
  <si>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</si>
  <si>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</si>
  <si>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</si>
  <si>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</si>
  <si>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</si>
  <si>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</si>
  <si>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</si>
  <si>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</si>
  <si>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</si>
  <si>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</si>
  <si>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</si>
  <si>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</si>
  <si>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</si>
  <si>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</si>
  <si>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</si>
  <si>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</si>
  <si>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</si>
  <si>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</si>
  <si>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</si>
  <si>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</si>
  <si>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</si>
  <si>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</si>
  <si>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</si>
  <si>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при сохранении темпа роста контрактной выручки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</si>
  <si>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</si>
  <si>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</si>
  <si>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</si>
  <si>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</si>
  <si>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</si>
  <si>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</si>
  <si>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</si>
  <si>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</si>
  <si>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</si>
  <si>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</si>
  <si>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</si>
  <si>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</si>
  <si>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</si>
  <si>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</si>
  <si>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</si>
  <si>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Сокращение разрыва в мультипликаторах с Tencent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</si>
  <si>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</si>
  <si>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</si>
  <si>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</si>
  <si>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</si>
  <si>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</si>
  <si>
    <t xml:space="preserve">Диапазон — фактические котировки вторичного рынка. Вторичные сделки идут по $44–47 за акцию против $49.09 в Series F — дисконт около 10% к раунду.</t>
  </si>
  <si>
    <t xml:space="preserve">верх диапазона корпоративного софта</t>
  </si>
  <si>
    <t xml:space="preserve">Datadog</t>
  </si>
  <si>
    <t xml:space="preserve">ServiceNow</t>
  </si>
  <si>
    <t xml:space="preserve">EV/Revenue — после падения мультипликаторов в 2026</t>
  </si>
  <si>
    <t xml:space="preserve">ARR превысил $300 млн (май 2026), рост 89% г/г — утроение за 15 месяцев ($100 млн в начале 2025 → $200 млн в декабре → $300 млн в мае). Триггер для IPO аналитики видят на $500 млн — $1 млрд ARR.</t>
  </si>
  <si>
    <t xml:space="preserve">Продажа стратегу по нижней границе (прецедент: Workday купил Sana за $1.1 млрд)</t>
  </si>
  <si>
    <t xml:space="preserve">IPO 2028 в верхней части диапазона $20–25 млрд</t>
  </si>
  <si>
    <t xml:space="preserve">Лидер категории корпоративного ИИ-поиска</t>
  </si>
  <si>
    <t xml:space="preserve">• Series F $150 млн @ $7.2 млрд: 10.06.2025, лид Wellington Management; раунда 2026 года нет</t>
  </si>
  <si>
    <t xml:space="preserve">• ARR &gt;$300 млн (28.05.2026), +89% г/г; более 1 млн пользователей; всего привлечено ~$765 млн</t>
  </si>
  <si>
    <t xml:space="preserve">• Вторичный рынок: $44–47/акция против $49.09 в раунде (дисконт ~10%)</t>
  </si>
  <si>
    <t xml:space="preserve">• Риск: часть выручки — потребление, а не подписка; мультипликаторы корпоративного софта в 2026 сжались</t>
  </si>
  <si>
    <t xml:space="preserve">Диапазон — фактические котировки вторичного рынка. Вторичные сделки идут с небольшой премией к Series D двухлетней давности: Forge $84.48, Hiive $89.53 за акцию (21.08.2026).</t>
  </si>
  <si>
    <t xml:space="preserve">Lumentum</t>
  </si>
  <si>
    <t xml:space="preserve">оптические компоненты</t>
  </si>
  <si>
    <t xml:space="preserve">NTM EV/Revenue</t>
  </si>
  <si>
    <t xml:space="preserve">Coherent</t>
  </si>
  <si>
    <t xml:space="preserve">оптика</t>
  </si>
  <si>
    <t xml:space="preserve">Выручка не раскрывается. Ставка на переход отрасли к оптическим соединениям между чипами: рынок оптики для ИИ-дата-центров растёт с $13.7 млрд (2024) до прогнозных $144 млрд к 2030 году.</t>
  </si>
  <si>
    <t xml:space="preserve">Продажа стратегу по прецеденту Celestial AI (Marvell, $3.25 млрд + earnout)</t>
  </si>
  <si>
    <t xml:space="preserve">IPO или продажа стратегу при выходе технологии в серию</t>
  </si>
  <si>
    <t xml:space="preserve">Стандарт отрасли по оптическим соединениям</t>
  </si>
  <si>
    <t xml:space="preserve">• Series D $400 млн @ $4.4 млрд: октябрь 2024, лид T. Rowe Price; новых раундов нет</t>
  </si>
  <si>
    <t xml:space="preserve">• Вторичный рынок ~$4.6 млрд: Forge и Hiive, 21.08.2026; всего привлечено ~$850 млн</t>
  </si>
  <si>
    <t xml:space="preserve">• Июнь 2026: вошла в экосистему NVIDIA NVLink Fusion; август 2026 — возглавила рабочую группу Open Compute Project из 19 компаний</t>
  </si>
  <si>
    <t xml:space="preserve">• Прецедент M&amp;A: Marvell закрыл покупку Celestial AI 02.02.2026 за $3.25 млрд (до $5.5 млрд с earnout)</t>
  </si>
  <si>
    <t xml:space="preserve">Диапазон — фактические котировки вторичного рынка. Вторичные сделки идут с дисконтом к Series E: бумага доступна дешевле оценки раунда, размещение открыто 12.08.2026.</t>
  </si>
  <si>
    <t xml:space="preserve">IonQ</t>
  </si>
  <si>
    <t xml:space="preserve">капитализация $16.5 млрд к выручке FY26 $280–290 млн</t>
  </si>
  <si>
    <t xml:space="preserve">Rigetti</t>
  </si>
  <si>
    <t xml:space="preserve">капитализация $4.8 млрд к выручке ~$24 млн — премия за ожидания</t>
  </si>
  <si>
    <t xml:space="preserve">D-Wave</t>
  </si>
  <si>
    <t xml:space="preserve">капитализация $6.9 млрд к выручке ~$44 млн</t>
  </si>
  <si>
    <t xml:space="preserve">Quantinuum</t>
  </si>
  <si>
    <t xml:space="preserve">оценка на IPO 04.06.2026, $ млрд</t>
  </si>
  <si>
    <t xml:space="preserve">Компания до выручки: все поступления — государственные и партнёрские контракты. Одна из двух компаний (вместе с Microsoft) в стадии C программы DARPA QBI. Публичные квантовые компании торгуются по 50–200 годовых выручек — сектор оценивают по ожиданиям, а не по финансам.</t>
  </si>
  <si>
    <t xml:space="preserve">Оценка остаётся вблизи Series E ($8 млрд)</t>
  </si>
  <si>
    <t xml:space="preserve">IPO 2029–30 с кратной премией к Quantinuum ($15.6 млрд на листинге в июне 2026)</t>
  </si>
  <si>
    <t xml:space="preserve">Первый в мире отказоустойчивый квантовый компьютер выходит в серию</t>
  </si>
  <si>
    <t xml:space="preserve">• Series E $1.0 млрд @ $7 млрд: 10.09.2025; лиды BlackRock, Baillie Gifford, Temasek</t>
  </si>
  <si>
    <t xml:space="preserve">• Всего мобилизовано ~$3.5–3.7 млрд: ~$2.3 млрд частных + A$940 млн Австралия + &gt;$500 млн Иллинойс + $125 млн DARPA</t>
  </si>
  <si>
    <t xml:space="preserve">• Окно выхода открылось: Quantinuum вышел на Nasdaq 04.06.2026, привлёк $1.68 млрд при оценке ~$15.6 млрд</t>
  </si>
  <si>
    <t xml:space="preserve">• Риски: перенос площадки в Брисбене и сдвиг сроков к 2029–2030, аудит ANAO по австралийской сделке, временный CEO (Виктор Пенг с 10.02.2026), недоказанная отказоустойчивость фотонного подхода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</si>
</sst>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0.415588460314333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72.45</v>
      </c>
      <c r="K6" s="8" t="n">
        <f aca="false">'Figure AI'!B37</f>
        <v>2.3</v>
      </c>
      <c r="L6" s="9" t="n">
        <f aca="false">'Figure AI'!B38</f>
        <v>1.3</v>
      </c>
      <c r="M6" s="9" t="n">
        <f aca="false">'Figure AI'!B39</f>
        <v>0.268676251376101</v>
      </c>
      <c r="N6" s="8" t="n">
        <f aca="false">'Figure AI'!B40</f>
        <v>1.23809523809524</v>
      </c>
      <c r="O6" s="8" t="n">
        <f aca="false">'Figure AI'!C40</f>
        <v>5.71428571428571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60.75</v>
      </c>
      <c r="K7" s="8" t="n">
        <f aca="false">1X!B37</f>
        <v>5.4</v>
      </c>
      <c r="L7" s="9" t="n">
        <f aca="false">1X!B38</f>
        <v>4.4</v>
      </c>
      <c r="M7" s="9" t="n">
        <f aca="false">1X!B39</f>
        <v>0.963168169823712</v>
      </c>
      <c r="N7" s="8" t="n">
        <f aca="false">1X!B40</f>
        <v>0.888888888888889</v>
      </c>
      <c r="O7" s="8" t="n">
        <f aca="false">1X!C40</f>
        <v>12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35.0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'Positron AI'!B6</f>
        <v>1</v>
      </c>
      <c r="E9" s="6" t="n">
        <f aca="false">'Positron AI'!B7</f>
        <v>3.5</v>
      </c>
      <c r="F9" s="6" t="n">
        <f aca="false">'Positron AI'!B10</f>
        <v>4.5</v>
      </c>
      <c r="G9" s="6" t="n">
        <f aca="false">'Positron AI'!B11</f>
        <v>5</v>
      </c>
      <c r="H9" s="6" t="n">
        <f aca="false">'Positron AI'!B12</f>
        <v>4.75</v>
      </c>
      <c r="I9" s="7" t="s">
        <v>36</v>
      </c>
      <c r="J9" s="6" t="n">
        <f aca="false">'Positron AI'!B36</f>
        <v>24</v>
      </c>
      <c r="K9" s="8" t="n">
        <f aca="false">'Positron AI'!B37</f>
        <v>5.05263157894737</v>
      </c>
      <c r="L9" s="9" t="n">
        <f aca="false">'Positron AI'!B38</f>
        <v>4.05263157894737</v>
      </c>
      <c r="M9" s="9" t="n">
        <f aca="false">'Positron AI'!B39</f>
        <v>0.588565175565576</v>
      </c>
      <c r="N9" s="8" t="n">
        <f aca="false">'Positron AI'!B40</f>
        <v>1.05263157894737</v>
      </c>
      <c r="O9" s="8" t="n">
        <f aca="false">'Positron AI'!C40</f>
        <v>8.42105263157895</v>
      </c>
    </row>
    <row r="10" customFormat="false" ht="23.8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Databricks!B6</f>
        <v>190</v>
      </c>
      <c r="E10" s="6" t="n">
        <f aca="false">Databricks!B7</f>
        <v>190</v>
      </c>
      <c r="F10" s="6" t="n">
        <f aca="false">Databricks!B10</f>
        <v>195</v>
      </c>
      <c r="G10" s="6" t="n">
        <f aca="false">Databricks!B11</f>
        <v>210</v>
      </c>
      <c r="H10" s="6" t="n">
        <f aca="false">Databricks!B12</f>
        <v>202.5</v>
      </c>
      <c r="I10" s="7" t="s">
        <v>40</v>
      </c>
      <c r="J10" s="6" t="n">
        <f aca="false">Databricks!B36</f>
        <v>425</v>
      </c>
      <c r="K10" s="8" t="n">
        <f aca="false">Databricks!B37</f>
        <v>2.09876543209877</v>
      </c>
      <c r="L10" s="9" t="n">
        <f aca="false">Databricks!B38</f>
        <v>1.09876543209877</v>
      </c>
      <c r="M10" s="9" t="n">
        <f aca="false">Databricks!B39</f>
        <v>0.448711645600589</v>
      </c>
      <c r="N10" s="8" t="n">
        <f aca="false">Databricks!B40</f>
        <v>0.938271604938272</v>
      </c>
      <c r="O10" s="8" t="n">
        <f aca="false">Databricks!C40</f>
        <v>3.08641975308642</v>
      </c>
    </row>
    <row r="11" customFormat="false" ht="35.0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'VAST Data'!B6</f>
        <v>30</v>
      </c>
      <c r="E11" s="6" t="n">
        <f aca="false">'VAST Data'!B7</f>
        <v>30</v>
      </c>
      <c r="F11" s="6" t="n">
        <f aca="false">'VAST Data'!B10</f>
        <v>23</v>
      </c>
      <c r="G11" s="6" t="n">
        <f aca="false">'VAST Data'!B11</f>
        <v>28</v>
      </c>
      <c r="H11" s="6" t="n">
        <f aca="false">'VAST Data'!B12</f>
        <v>25.5</v>
      </c>
      <c r="I11" s="7" t="s">
        <v>44</v>
      </c>
      <c r="J11" s="6" t="n">
        <f aca="false">'VAST Data'!B36</f>
        <v>81.6</v>
      </c>
      <c r="K11" s="8" t="n">
        <f aca="false">'VAST Data'!B37</f>
        <v>3.2</v>
      </c>
      <c r="L11" s="9" t="n">
        <f aca="false">'VAST Data'!B38</f>
        <v>2.2</v>
      </c>
      <c r="M11" s="9" t="n">
        <f aca="false">'VAST Data'!B39</f>
        <v>0.592428682213989</v>
      </c>
      <c r="N11" s="8" t="n">
        <f aca="false">'VAST Data'!B40</f>
        <v>1.17647058823529</v>
      </c>
      <c r="O11" s="8" t="n">
        <f aca="false">'VAST Data'!C40</f>
        <v>5.49019607843137</v>
      </c>
    </row>
    <row r="12" customFormat="false" ht="35.05" hidden="false" customHeight="false" outlineLevel="0" collapsed="false">
      <c r="A12" s="4" t="s">
        <v>45</v>
      </c>
      <c r="B12" s="5" t="s">
        <v>46</v>
      </c>
      <c r="C12" s="5" t="s">
        <v>47</v>
      </c>
      <c r="D12" s="6" t="n">
        <f aca="false">ByteDance!B6</f>
        <v>425</v>
      </c>
      <c r="E12" s="6" t="n">
        <f aca="false">ByteDance!B7</f>
        <v>425</v>
      </c>
      <c r="F12" s="6" t="n">
        <f aca="false">ByteDance!B10</f>
        <v>590</v>
      </c>
      <c r="G12" s="6" t="n">
        <f aca="false">ByteDance!B11</f>
        <v>610</v>
      </c>
      <c r="H12" s="6" t="n">
        <f aca="false">ByteDance!B12</f>
        <v>600</v>
      </c>
      <c r="I12" s="7" t="s">
        <v>48</v>
      </c>
      <c r="J12" s="6" t="n">
        <f aca="false">ByteDance!B36</f>
        <v>1200</v>
      </c>
      <c r="K12" s="8" t="n">
        <f aca="false">ByteDance!B37</f>
        <v>2</v>
      </c>
      <c r="L12" s="9" t="n">
        <f aca="false">ByteDance!B38</f>
        <v>1</v>
      </c>
      <c r="M12" s="9" t="n">
        <f aca="false">ByteDance!B39</f>
        <v>0.414213562373095</v>
      </c>
      <c r="N12" s="8" t="n">
        <f aca="false">ByteDance!B40</f>
        <v>1</v>
      </c>
      <c r="O12" s="8" t="n">
        <f aca="false">ByteDance!C40</f>
        <v>2.66666666666667</v>
      </c>
    </row>
    <row r="13" customFormat="false" ht="23.85" hidden="false" customHeight="false" outlineLevel="0" collapsed="false">
      <c r="A13" s="4" t="s">
        <v>49</v>
      </c>
      <c r="B13" s="5" t="s">
        <v>50</v>
      </c>
      <c r="C13" s="5" t="s">
        <v>51</v>
      </c>
      <c r="D13" s="6" t="n">
        <f aca="false">Glean!B6</f>
        <v>7.2</v>
      </c>
      <c r="E13" s="6" t="n">
        <f aca="false">Glean!B7</f>
        <v>7.2</v>
      </c>
      <c r="F13" s="6" t="n">
        <f aca="false">Glean!B10</f>
        <v>6.5</v>
      </c>
      <c r="G13" s="6" t="n">
        <f aca="false">Glean!B11</f>
        <v>7</v>
      </c>
      <c r="H13" s="6" t="n">
        <f aca="false">Glean!B12</f>
        <v>6.75</v>
      </c>
      <c r="I13" s="7" t="s">
        <v>44</v>
      </c>
      <c r="J13" s="6" t="n">
        <f aca="false">Glean!B36</f>
        <v>25</v>
      </c>
      <c r="K13" s="8" t="n">
        <f aca="false">Glean!B37</f>
        <v>3.7037037037037</v>
      </c>
      <c r="L13" s="9" t="n">
        <f aca="false">Glean!B38</f>
        <v>2.7037037037037</v>
      </c>
      <c r="M13" s="9" t="n">
        <f aca="false">Glean!B39</f>
        <v>0.688318947040394</v>
      </c>
      <c r="N13" s="8" t="n">
        <f aca="false">Glean!B40</f>
        <v>1.06666666666667</v>
      </c>
      <c r="O13" s="8" t="n">
        <f aca="false">Glean!C40</f>
        <v>7.40740740740741</v>
      </c>
    </row>
    <row r="14" customFormat="false" ht="23.85" hidden="false" customHeight="false" outlineLevel="0" collapsed="false">
      <c r="A14" s="4" t="s">
        <v>52</v>
      </c>
      <c r="B14" s="5" t="s">
        <v>53</v>
      </c>
      <c r="C14" s="5" t="s">
        <v>54</v>
      </c>
      <c r="D14" s="6" t="n">
        <f aca="false">Lightmatter!B6</f>
        <v>4.4</v>
      </c>
      <c r="E14" s="6" t="n">
        <f aca="false">Lightmatter!B7</f>
        <v>4.4</v>
      </c>
      <c r="F14" s="6" t="n">
        <f aca="false">Lightmatter!B10</f>
        <v>4.5</v>
      </c>
      <c r="G14" s="6" t="n">
        <f aca="false">Lightmatter!B11</f>
        <v>5</v>
      </c>
      <c r="H14" s="6" t="n">
        <f aca="false">Lightmatter!B12</f>
        <v>4.75</v>
      </c>
      <c r="I14" s="7" t="s">
        <v>36</v>
      </c>
      <c r="J14" s="6" t="n">
        <f aca="false">Lightmatter!B36</f>
        <v>20.425</v>
      </c>
      <c r="K14" s="8" t="n">
        <f aca="false">Lightmatter!B37</f>
        <v>4.3</v>
      </c>
      <c r="L14" s="9" t="n">
        <f aca="false">Lightmatter!B38</f>
        <v>3.3</v>
      </c>
      <c r="M14" s="9" t="n">
        <f aca="false">Lightmatter!B39</f>
        <v>0.517018885214634</v>
      </c>
      <c r="N14" s="8" t="n">
        <f aca="false">Lightmatter!B40</f>
        <v>0.842105263157895</v>
      </c>
      <c r="O14" s="8" t="n">
        <f aca="false">Lightmatter!C40</f>
        <v>10.6105263157895</v>
      </c>
    </row>
    <row r="15" customFormat="false" ht="35.05" hidden="false" customHeight="false" outlineLevel="0" collapsed="false">
      <c r="A15" s="4" t="s">
        <v>55</v>
      </c>
      <c r="B15" s="5" t="s">
        <v>56</v>
      </c>
      <c r="C15" s="5" t="s">
        <v>57</v>
      </c>
      <c r="D15" s="6" t="n">
        <f aca="false">PsiQuantum!B6</f>
        <v>7</v>
      </c>
      <c r="E15" s="6" t="n">
        <f aca="false">PsiQuantum!B7</f>
        <v>7</v>
      </c>
      <c r="F15" s="6" t="n">
        <f aca="false">PsiQuantum!B10</f>
        <v>6</v>
      </c>
      <c r="G15" s="6" t="n">
        <f aca="false">PsiQuantum!B11</f>
        <v>6.5</v>
      </c>
      <c r="H15" s="6" t="n">
        <f aca="false">PsiQuantum!B12</f>
        <v>6.25</v>
      </c>
      <c r="I15" s="7" t="s">
        <v>58</v>
      </c>
      <c r="J15" s="6" t="n">
        <f aca="false">PsiQuantum!B36</f>
        <v>43.75</v>
      </c>
      <c r="K15" s="8" t="n">
        <f aca="false">PsiQuantum!B37</f>
        <v>7</v>
      </c>
      <c r="L15" s="9" t="n">
        <f aca="false">PsiQuantum!B38</f>
        <v>6</v>
      </c>
      <c r="M15" s="9" t="n">
        <f aca="false">PsiQuantum!B39</f>
        <v>0.540989091653837</v>
      </c>
      <c r="N15" s="8" t="n">
        <f aca="false">PsiQuantum!B40</f>
        <v>1.2</v>
      </c>
      <c r="O15" s="8" t="n">
        <f aca="false">PsiQuantum!C40</f>
        <v>16.8</v>
      </c>
    </row>
    <row r="17" customFormat="false" ht="15" hidden="false" customHeight="false" outlineLevel="0" collapsed="false">
      <c r="A17" s="2" t="s">
        <v>59</v>
      </c>
    </row>
    <row r="18" customFormat="false" ht="15" hidden="false" customHeight="false" outlineLevel="0" collapsed="false">
      <c r="A18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61</v>
      </c>
    </row>
    <row r="3" customFormat="false" ht="45.75" hidden="false" customHeight="true" outlineLevel="0" collapsed="false">
      <c r="A3" s="10" t="s">
        <v>5</v>
      </c>
      <c r="B3" s="11" t="s">
        <v>62</v>
      </c>
    </row>
    <row r="4" customFormat="false" ht="45.75" hidden="false" customHeight="true" outlineLevel="0" collapsed="false">
      <c r="A4" s="10" t="s">
        <v>63</v>
      </c>
      <c r="B4" s="11" t="s">
        <v>64</v>
      </c>
    </row>
    <row r="5" customFormat="false" ht="45.75" hidden="false" customHeight="true" outlineLevel="0" collapsed="false">
      <c r="A5" s="10" t="s">
        <v>65</v>
      </c>
      <c r="B5" s="11" t="s">
        <v>66</v>
      </c>
    </row>
    <row r="6" customFormat="false" ht="45.75" hidden="false" customHeight="true" outlineLevel="0" collapsed="false">
      <c r="A6" s="10" t="s">
        <v>67</v>
      </c>
      <c r="B6" s="11" t="s">
        <v>68</v>
      </c>
    </row>
    <row r="7" customFormat="false" ht="45.75" hidden="false" customHeight="true" outlineLevel="0" collapsed="false">
      <c r="A7" s="10" t="s">
        <v>69</v>
      </c>
      <c r="B7" s="11" t="s">
        <v>70</v>
      </c>
    </row>
    <row r="8" customFormat="false" ht="45.75" hidden="false" customHeight="true" outlineLevel="0" collapsed="false">
      <c r="A8" s="10" t="s">
        <v>71</v>
      </c>
      <c r="B8" s="11" t="s">
        <v>72</v>
      </c>
    </row>
    <row r="9" customFormat="false" ht="45.75" hidden="false" customHeight="true" outlineLevel="0" collapsed="false">
      <c r="A9" s="10" t="s">
        <v>73</v>
      </c>
      <c r="B9" s="11" t="s">
        <v>74</v>
      </c>
    </row>
    <row r="10" customFormat="false" ht="45.75" hidden="false" customHeight="true" outlineLevel="0" collapsed="false">
      <c r="A10" s="10" t="s">
        <v>75</v>
      </c>
      <c r="B10" s="11" t="s">
        <v>76</v>
      </c>
    </row>
    <row r="11" customFormat="false" ht="45.75" hidden="false" customHeight="true" outlineLevel="0" collapsed="false">
      <c r="A11" s="10" t="s">
        <v>77</v>
      </c>
      <c r="B11" s="11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19</v>
      </c>
    </row>
    <row r="6" customFormat="false" ht="15" hidden="false" customHeight="false" outlineLevel="0" collapsed="false">
      <c r="A6" s="14" t="s">
        <v>81</v>
      </c>
      <c r="B6" s="15" t="n">
        <v>852</v>
      </c>
    </row>
    <row r="7" customFormat="false" ht="15" hidden="false" customHeight="false" outlineLevel="0" collapsed="false">
      <c r="A7" s="14" t="s">
        <v>82</v>
      </c>
      <c r="B7" s="15" t="n">
        <v>852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86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88</v>
      </c>
      <c r="B13" s="18" t="s">
        <v>89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93</v>
      </c>
      <c r="B17" s="21" t="n">
        <v>10.5</v>
      </c>
      <c r="C17" s="22" t="s">
        <v>94</v>
      </c>
    </row>
    <row r="18" customFormat="false" ht="15" hidden="false" customHeight="false" outlineLevel="0" collapsed="false">
      <c r="A18" s="20" t="s">
        <v>95</v>
      </c>
      <c r="B18" s="21" t="n">
        <v>24.7</v>
      </c>
      <c r="C18" s="22" t="s">
        <v>96</v>
      </c>
    </row>
    <row r="19" customFormat="false" ht="15" hidden="false" customHeight="false" outlineLevel="0" collapsed="false">
      <c r="A19" s="20" t="s">
        <v>97</v>
      </c>
      <c r="B19" s="21" t="n">
        <v>9.4</v>
      </c>
      <c r="C19" s="22" t="s">
        <v>96</v>
      </c>
    </row>
    <row r="20" customFormat="false" ht="15" hidden="false" customHeight="false" outlineLevel="0" collapsed="false">
      <c r="A20" s="20" t="s">
        <v>98</v>
      </c>
      <c r="B20" s="21" t="n">
        <v>7</v>
      </c>
      <c r="C20" s="22" t="s">
        <v>96</v>
      </c>
    </row>
    <row r="21" customFormat="false" ht="15" hidden="false" customHeight="false" outlineLevel="0" collapsed="false">
      <c r="A21" s="20" t="s">
        <v>99</v>
      </c>
      <c r="B21" s="21" t="n">
        <v>61</v>
      </c>
      <c r="C21" s="22" t="s">
        <v>100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112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113</v>
      </c>
      <c r="B26" s="23" t="s">
        <v>112</v>
      </c>
      <c r="C26" s="24" t="n">
        <v>1.5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0.444928380645306</v>
      </c>
    </row>
    <row r="27" customFormat="false" ht="15" hidden="false" customHeight="false" outlineLevel="0" collapsed="false">
      <c r="A27" s="20" t="s">
        <v>114</v>
      </c>
      <c r="B27" s="23" t="s">
        <v>115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116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23.85" hidden="false" customHeight="false" outlineLevel="0" collapsed="false">
      <c r="A32" s="20" t="s">
        <v>111</v>
      </c>
      <c r="B32" s="23" t="s">
        <v>112</v>
      </c>
      <c r="C32" s="24" t="n">
        <v>1.5</v>
      </c>
      <c r="D32" s="5" t="s">
        <v>119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113</v>
      </c>
      <c r="B33" s="23" t="s">
        <v>112</v>
      </c>
      <c r="C33" s="24" t="n">
        <v>1.5</v>
      </c>
      <c r="D33" s="5" t="s">
        <v>120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0.385941259811554</v>
      </c>
    </row>
    <row r="34" customFormat="false" ht="15" hidden="false" customHeight="false" outlineLevel="0" collapsed="false">
      <c r="A34" s="20" t="s">
        <v>114</v>
      </c>
      <c r="B34" s="23" t="s">
        <v>115</v>
      </c>
      <c r="C34" s="24" t="n">
        <v>2</v>
      </c>
      <c r="D34" s="5" t="s">
        <v>121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0.415588460314333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128</v>
      </c>
    </row>
    <row r="45" customFormat="false" ht="15" hidden="false" customHeight="false" outlineLevel="0" collapsed="false">
      <c r="A45" s="2" t="s">
        <v>129</v>
      </c>
    </row>
    <row r="46" customFormat="false" ht="15" hidden="false" customHeight="false" outlineLevel="0" collapsed="false">
      <c r="A46" s="2" t="s">
        <v>130</v>
      </c>
    </row>
    <row r="47" customFormat="false" ht="15" hidden="false" customHeight="false" outlineLevel="0" collapsed="false">
      <c r="A47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23</v>
      </c>
    </row>
    <row r="6" customFormat="false" ht="15" hidden="false" customHeight="false" outlineLevel="0" collapsed="false">
      <c r="A6" s="14" t="s">
        <v>81</v>
      </c>
      <c r="B6" s="15" t="n">
        <v>39</v>
      </c>
    </row>
    <row r="7" customFormat="false" ht="15" hidden="false" customHeight="false" outlineLevel="0" collapsed="false">
      <c r="A7" s="14" t="s">
        <v>82</v>
      </c>
      <c r="B7" s="15" t="n">
        <v>39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30</v>
      </c>
    </row>
    <row r="11" customFormat="false" ht="15" hidden="false" customHeight="false" outlineLevel="0" collapsed="false">
      <c r="A11" s="14" t="s">
        <v>86</v>
      </c>
      <c r="B11" s="15" t="n">
        <v>33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88</v>
      </c>
      <c r="B13" s="18" t="s">
        <v>132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133</v>
      </c>
      <c r="B17" s="21" t="n">
        <v>15</v>
      </c>
      <c r="C17" s="22" t="s">
        <v>134</v>
      </c>
    </row>
    <row r="18" customFormat="false" ht="15" hidden="false" customHeight="false" outlineLevel="0" collapsed="false">
      <c r="A18" s="20" t="s">
        <v>135</v>
      </c>
      <c r="B18" s="21" t="n">
        <v>15.7</v>
      </c>
      <c r="C18" s="22" t="s">
        <v>136</v>
      </c>
    </row>
    <row r="19" customFormat="false" ht="15" hidden="false" customHeight="false" outlineLevel="0" collapsed="false">
      <c r="A19" s="20" t="s">
        <v>137</v>
      </c>
      <c r="B19" s="21" t="n">
        <v>7.3</v>
      </c>
      <c r="C19" s="22" t="s">
        <v>138</v>
      </c>
    </row>
    <row r="20" customFormat="false" ht="15" hidden="false" customHeight="false" outlineLevel="0" collapsed="false">
      <c r="A20" s="20" t="s">
        <v>139</v>
      </c>
      <c r="B20" s="21" t="n">
        <v>6.3</v>
      </c>
      <c r="C20" s="22" t="s">
        <v>140</v>
      </c>
    </row>
    <row r="21" customFormat="false" ht="15" hidden="false" customHeight="false" outlineLevel="0" collapsed="false">
      <c r="A21" s="20" t="s">
        <v>141</v>
      </c>
      <c r="B21" s="21" t="n">
        <v>2.6</v>
      </c>
      <c r="C21" s="22" t="s">
        <v>142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143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113</v>
      </c>
      <c r="B26" s="23" t="s">
        <v>144</v>
      </c>
      <c r="C26" s="24" t="n">
        <v>3.5</v>
      </c>
      <c r="D26" s="25" t="n">
        <v>4.8</v>
      </c>
      <c r="E26" s="26" t="n">
        <v>15</v>
      </c>
      <c r="F26" s="27" t="n">
        <f aca="false">D26*E26</f>
        <v>72</v>
      </c>
      <c r="G26" s="28" t="n">
        <f aca="false">F26/B12</f>
        <v>2.28571428571429</v>
      </c>
      <c r="H26" s="29" t="n">
        <f aca="false">G26-1</f>
        <v>1.28571428571429</v>
      </c>
      <c r="I26" s="29" t="n">
        <f aca="false">G26^(1/C26)-1</f>
        <v>0.266419817374981</v>
      </c>
    </row>
    <row r="27" customFormat="false" ht="15" hidden="false" customHeight="false" outlineLevel="0" collapsed="false">
      <c r="A27" s="20" t="s">
        <v>114</v>
      </c>
      <c r="B27" s="23" t="s">
        <v>144</v>
      </c>
      <c r="C27" s="24" t="n">
        <v>3.5</v>
      </c>
      <c r="D27" s="25" t="n">
        <v>10</v>
      </c>
      <c r="E27" s="26" t="n">
        <v>18</v>
      </c>
      <c r="F27" s="27" t="n">
        <f aca="false">D27*E27</f>
        <v>180</v>
      </c>
      <c r="G27" s="28" t="n">
        <f aca="false">F27/B12</f>
        <v>5.71428571428571</v>
      </c>
      <c r="H27" s="29" t="n">
        <f aca="false">G27-1</f>
        <v>4.71428571428571</v>
      </c>
      <c r="I27" s="29" t="n">
        <f aca="false">G27^(1/C27)-1</f>
        <v>0.645412693099038</v>
      </c>
    </row>
    <row r="28" customFormat="false" ht="30" hidden="false" customHeight="true" outlineLevel="0" collapsed="false">
      <c r="A28" s="18" t="s">
        <v>145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15" hidden="false" customHeight="false" outlineLevel="0" collapsed="false">
      <c r="A32" s="20" t="s">
        <v>111</v>
      </c>
      <c r="B32" s="23" t="s">
        <v>143</v>
      </c>
      <c r="C32" s="24" t="n">
        <v>3</v>
      </c>
      <c r="D32" s="5" t="s">
        <v>146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113</v>
      </c>
      <c r="B33" s="23" t="s">
        <v>144</v>
      </c>
      <c r="C33" s="24" t="n">
        <v>3.5</v>
      </c>
      <c r="D33" s="5" t="s">
        <v>147</v>
      </c>
      <c r="E33" s="25" t="n">
        <v>72.9</v>
      </c>
      <c r="F33" s="28" t="n">
        <f aca="false">E33/B12</f>
        <v>2.31428571428571</v>
      </c>
      <c r="G33" s="29" t="n">
        <f aca="false">F33-1</f>
        <v>1.31428571428571</v>
      </c>
      <c r="H33" s="29" t="n">
        <f aca="false">F33^(1/C33)-1</f>
        <v>0.270922696665602</v>
      </c>
    </row>
    <row r="34" customFormat="false" ht="15" hidden="false" customHeight="false" outlineLevel="0" collapsed="false">
      <c r="A34" s="20" t="s">
        <v>114</v>
      </c>
      <c r="B34" s="23" t="s">
        <v>144</v>
      </c>
      <c r="C34" s="24" t="n">
        <v>3.5</v>
      </c>
      <c r="D34" s="5" t="s">
        <v>148</v>
      </c>
      <c r="E34" s="25" t="n">
        <v>150</v>
      </c>
      <c r="F34" s="28" t="n">
        <f aca="false">E34/B12</f>
        <v>4.76190476190476</v>
      </c>
      <c r="G34" s="29" t="n">
        <f aca="false">F34-1</f>
        <v>3.76190476190476</v>
      </c>
      <c r="H34" s="29" t="n">
        <f aca="false">F34^(1/C34)-1</f>
        <v>0.561894264347479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72.45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0.268676251376101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1.23809523809524</v>
      </c>
      <c r="C40" s="30" t="n">
        <f aca="false">MAX(G27,F34)</f>
        <v>5.71428571428571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2.19545454545455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149</v>
      </c>
    </row>
    <row r="45" customFormat="false" ht="15" hidden="false" customHeight="false" outlineLevel="0" collapsed="false">
      <c r="A45" s="2" t="s">
        <v>150</v>
      </c>
    </row>
    <row r="46" customFormat="false" ht="15" hidden="false" customHeight="false" outlineLevel="0" collapsed="false">
      <c r="A46" s="2" t="s">
        <v>151</v>
      </c>
    </row>
    <row r="47" customFormat="false" ht="15" hidden="false" customHeight="false" outlineLevel="0" collapsed="false">
      <c r="A47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27</v>
      </c>
    </row>
    <row r="6" customFormat="false" ht="15" hidden="false" customHeight="false" outlineLevel="0" collapsed="false">
      <c r="A6" s="14" t="s">
        <v>81</v>
      </c>
      <c r="B6" s="15" t="n">
        <v>10</v>
      </c>
    </row>
    <row r="7" customFormat="false" ht="15" hidden="false" customHeight="false" outlineLevel="0" collapsed="false">
      <c r="A7" s="14" t="s">
        <v>82</v>
      </c>
      <c r="B7" s="15" t="n">
        <v>10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10.5</v>
      </c>
    </row>
    <row r="11" customFormat="false" ht="15" hidden="false" customHeight="false" outlineLevel="0" collapsed="false">
      <c r="A11" s="14" t="s">
        <v>86</v>
      </c>
      <c r="B11" s="15" t="n">
        <v>12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88</v>
      </c>
      <c r="B13" s="18" t="s">
        <v>152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133</v>
      </c>
      <c r="B17" s="21" t="n">
        <v>15</v>
      </c>
      <c r="C17" s="22" t="s">
        <v>134</v>
      </c>
    </row>
    <row r="18" customFormat="false" ht="15" hidden="false" customHeight="false" outlineLevel="0" collapsed="false">
      <c r="A18" s="20" t="s">
        <v>135</v>
      </c>
      <c r="B18" s="21" t="n">
        <v>15.7</v>
      </c>
      <c r="C18" s="22" t="s">
        <v>136</v>
      </c>
    </row>
    <row r="19" customFormat="false" ht="15" hidden="false" customHeight="false" outlineLevel="0" collapsed="false">
      <c r="A19" s="20" t="s">
        <v>153</v>
      </c>
      <c r="B19" s="21" t="n">
        <v>1</v>
      </c>
      <c r="C19" s="22" t="s">
        <v>154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143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113</v>
      </c>
      <c r="B26" s="23" t="s">
        <v>143</v>
      </c>
      <c r="C26" s="24" t="n">
        <v>2.5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5.33333333333333</v>
      </c>
      <c r="H26" s="29" t="n">
        <f aca="false">G26-1</f>
        <v>4.33333333333333</v>
      </c>
      <c r="I26" s="29" t="n">
        <f aca="false">G26^(1/C26)-1</f>
        <v>0.953437367722348</v>
      </c>
    </row>
    <row r="27" customFormat="false" ht="15" hidden="false" customHeight="false" outlineLevel="0" collapsed="false">
      <c r="A27" s="20" t="s">
        <v>114</v>
      </c>
      <c r="B27" s="23" t="s">
        <v>144</v>
      </c>
      <c r="C27" s="24" t="n">
        <v>3.5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</v>
      </c>
      <c r="H27" s="29" t="n">
        <f aca="false">G27-1</f>
        <v>11</v>
      </c>
      <c r="I27" s="29" t="n">
        <f aca="false">G27^(1/C27)-1</f>
        <v>1.03393700979443</v>
      </c>
    </row>
    <row r="28" customFormat="false" ht="30" hidden="false" customHeight="true" outlineLevel="0" collapsed="false">
      <c r="A28" s="18" t="s">
        <v>155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15" hidden="false" customHeight="false" outlineLevel="0" collapsed="false">
      <c r="A32" s="20" t="s">
        <v>111</v>
      </c>
      <c r="B32" s="23" t="s">
        <v>143</v>
      </c>
      <c r="C32" s="24" t="n">
        <v>2.5</v>
      </c>
      <c r="D32" s="5" t="s">
        <v>156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113</v>
      </c>
      <c r="B33" s="23" t="s">
        <v>143</v>
      </c>
      <c r="C33" s="24" t="n">
        <v>2.5</v>
      </c>
      <c r="D33" s="5" t="s">
        <v>157</v>
      </c>
      <c r="E33" s="25" t="n">
        <v>61.5</v>
      </c>
      <c r="F33" s="28" t="n">
        <f aca="false">E33/B12</f>
        <v>5.46666666666667</v>
      </c>
      <c r="G33" s="29" t="n">
        <f aca="false">F33-1</f>
        <v>4.46666666666667</v>
      </c>
      <c r="H33" s="29" t="n">
        <f aca="false">F33^(1/C33)-1</f>
        <v>0.972827155851646</v>
      </c>
    </row>
    <row r="34" customFormat="false" ht="15" hidden="false" customHeight="false" outlineLevel="0" collapsed="false">
      <c r="A34" s="20" t="s">
        <v>114</v>
      </c>
      <c r="B34" s="23" t="s">
        <v>144</v>
      </c>
      <c r="C34" s="24" t="n">
        <v>3.5</v>
      </c>
      <c r="D34" s="5" t="s">
        <v>158</v>
      </c>
      <c r="E34" s="25" t="n">
        <v>120</v>
      </c>
      <c r="F34" s="28" t="n">
        <f aca="false">E34/B12</f>
        <v>10.6666666666667</v>
      </c>
      <c r="G34" s="29" t="n">
        <f aca="false">F34-1</f>
        <v>9.66666666666667</v>
      </c>
      <c r="H34" s="29" t="n">
        <f aca="false">F34^(1/C34)-1</f>
        <v>0.966629242074846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60.75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4.4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0.963168169823712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0.888888888888889</v>
      </c>
      <c r="C40" s="30" t="n">
        <f aca="false">MAX(G27,F34)</f>
        <v>12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5.0625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159</v>
      </c>
    </row>
    <row r="45" customFormat="false" ht="15" hidden="false" customHeight="false" outlineLevel="0" collapsed="false">
      <c r="A45" s="2" t="s">
        <v>160</v>
      </c>
    </row>
    <row r="46" customFormat="false" ht="15" hidden="false" customHeight="false" outlineLevel="0" collapsed="false">
      <c r="A46" s="2" t="s">
        <v>161</v>
      </c>
    </row>
    <row r="47" customFormat="false" ht="15" hidden="false" customHeight="false" outlineLevel="0" collapsed="false">
      <c r="A47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31</v>
      </c>
    </row>
    <row r="6" customFormat="false" ht="15" hidden="false" customHeight="false" outlineLevel="0" collapsed="false">
      <c r="A6" s="14" t="s">
        <v>81</v>
      </c>
      <c r="B6" s="15" t="n">
        <v>15</v>
      </c>
    </row>
    <row r="7" customFormat="false" ht="15" hidden="false" customHeight="false" outlineLevel="0" collapsed="false">
      <c r="A7" s="14" t="s">
        <v>82</v>
      </c>
      <c r="B7" s="15" t="n">
        <v>15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13.5</v>
      </c>
    </row>
    <row r="11" customFormat="false" ht="15" hidden="false" customHeight="false" outlineLevel="0" collapsed="false">
      <c r="A11" s="14" t="s">
        <v>86</v>
      </c>
      <c r="B11" s="15" t="n">
        <v>15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88</v>
      </c>
      <c r="B13" s="18" t="s">
        <v>162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163</v>
      </c>
      <c r="B17" s="21" t="n">
        <v>20.7</v>
      </c>
      <c r="C17" s="22" t="s">
        <v>164</v>
      </c>
    </row>
    <row r="18" customFormat="false" ht="15" hidden="false" customHeight="false" outlineLevel="0" collapsed="false">
      <c r="A18" s="20" t="s">
        <v>165</v>
      </c>
      <c r="B18" s="21" t="n">
        <v>17</v>
      </c>
      <c r="C18" s="22" t="s">
        <v>166</v>
      </c>
    </row>
    <row r="19" customFormat="false" ht="15" hidden="false" customHeight="false" outlineLevel="0" collapsed="false">
      <c r="A19" s="20" t="s">
        <v>167</v>
      </c>
      <c r="B19" s="21" t="n">
        <v>9</v>
      </c>
      <c r="C19" s="22" t="s">
        <v>168</v>
      </c>
    </row>
    <row r="20" customFormat="false" ht="15" hidden="false" customHeight="false" outlineLevel="0" collapsed="false">
      <c r="A20" s="20" t="s">
        <v>169</v>
      </c>
      <c r="B20" s="21" t="n">
        <v>5.9</v>
      </c>
      <c r="C20" s="22" t="s">
        <v>170</v>
      </c>
    </row>
    <row r="21" customFormat="false" ht="15" hidden="false" customHeight="false" outlineLevel="0" collapsed="false">
      <c r="A21" s="20" t="s">
        <v>171</v>
      </c>
      <c r="B21" s="21" t="n">
        <v>2.1</v>
      </c>
      <c r="C21" s="22" t="s">
        <v>172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115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113</v>
      </c>
      <c r="B26" s="23" t="s">
        <v>143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114</v>
      </c>
      <c r="B27" s="23" t="s">
        <v>144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173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15" hidden="false" customHeight="false" outlineLevel="0" collapsed="false">
      <c r="A32" s="20" t="s">
        <v>111</v>
      </c>
      <c r="B32" s="23" t="s">
        <v>115</v>
      </c>
      <c r="C32" s="24" t="n">
        <v>2</v>
      </c>
      <c r="D32" s="5" t="s">
        <v>174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113</v>
      </c>
      <c r="B33" s="23" t="s">
        <v>143</v>
      </c>
      <c r="C33" s="24" t="n">
        <v>2.5</v>
      </c>
      <c r="D33" s="5" t="s">
        <v>175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114</v>
      </c>
      <c r="B34" s="23" t="s">
        <v>144</v>
      </c>
      <c r="C34" s="24" t="n">
        <v>3.5</v>
      </c>
      <c r="D34" s="5" t="s">
        <v>176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177</v>
      </c>
    </row>
    <row r="45" customFormat="false" ht="15" hidden="false" customHeight="false" outlineLevel="0" collapsed="false">
      <c r="A45" s="2" t="s">
        <v>178</v>
      </c>
    </row>
    <row r="46" customFormat="false" ht="15" hidden="false" customHeight="false" outlineLevel="0" collapsed="false">
      <c r="A46" s="2" t="s">
        <v>179</v>
      </c>
    </row>
    <row r="47" customFormat="false" ht="15" hidden="false" customHeight="false" outlineLevel="0" collapsed="false">
      <c r="A47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35</v>
      </c>
    </row>
    <row r="6" customFormat="false" ht="15" hidden="false" customHeight="false" outlineLevel="0" collapsed="false">
      <c r="A6" s="14" t="s">
        <v>81</v>
      </c>
      <c r="B6" s="15" t="n">
        <v>1</v>
      </c>
    </row>
    <row r="7" customFormat="false" ht="15" hidden="false" customHeight="false" outlineLevel="0" collapsed="false">
      <c r="A7" s="14" t="s">
        <v>180</v>
      </c>
      <c r="B7" s="15" t="n">
        <v>3.5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4.5</v>
      </c>
    </row>
    <row r="11" customFormat="false" ht="15" hidden="false" customHeight="false" outlineLevel="0" collapsed="false">
      <c r="A11" s="14" t="s">
        <v>86</v>
      </c>
      <c r="B11" s="15" t="n">
        <v>5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88</v>
      </c>
      <c r="B13" s="18" t="s">
        <v>181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95</v>
      </c>
      <c r="B17" s="21" t="n">
        <v>20.6</v>
      </c>
      <c r="C17" s="22" t="s">
        <v>164</v>
      </c>
    </row>
    <row r="18" customFormat="false" ht="15" hidden="false" customHeight="false" outlineLevel="0" collapsed="false">
      <c r="A18" s="20" t="s">
        <v>182</v>
      </c>
      <c r="B18" s="21" t="n">
        <v>24.5</v>
      </c>
      <c r="C18" s="22" t="s">
        <v>164</v>
      </c>
    </row>
    <row r="19" customFormat="false" ht="15" hidden="false" customHeight="false" outlineLevel="0" collapsed="false">
      <c r="A19" s="20" t="s">
        <v>183</v>
      </c>
      <c r="B19" s="21" t="n">
        <v>18</v>
      </c>
      <c r="C19" s="22" t="s">
        <v>164</v>
      </c>
    </row>
    <row r="20" customFormat="false" ht="15" hidden="false" customHeight="false" outlineLevel="0" collapsed="false">
      <c r="A20" s="20" t="s">
        <v>184</v>
      </c>
      <c r="B20" s="21" t="n">
        <v>16.9</v>
      </c>
      <c r="C20" s="22" t="s">
        <v>164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143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113</v>
      </c>
      <c r="B26" s="23" t="s">
        <v>144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114</v>
      </c>
      <c r="B27" s="23" t="s">
        <v>185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186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15" hidden="false" customHeight="false" outlineLevel="0" collapsed="false">
      <c r="A32" s="20" t="s">
        <v>111</v>
      </c>
      <c r="B32" s="23" t="s">
        <v>143</v>
      </c>
      <c r="C32" s="24" t="n">
        <v>3</v>
      </c>
      <c r="D32" s="5" t="s">
        <v>187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113</v>
      </c>
      <c r="B33" s="23" t="s">
        <v>144</v>
      </c>
      <c r="C33" s="24" t="n">
        <v>3.5</v>
      </c>
      <c r="D33" s="5" t="s">
        <v>188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114</v>
      </c>
      <c r="B34" s="23" t="s">
        <v>185</v>
      </c>
      <c r="C34" s="24" t="n">
        <v>4.5</v>
      </c>
      <c r="D34" s="5" t="s">
        <v>189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190</v>
      </c>
    </row>
    <row r="45" customFormat="false" ht="15" hidden="false" customHeight="false" outlineLevel="0" collapsed="false">
      <c r="A45" s="2" t="s">
        <v>191</v>
      </c>
    </row>
    <row r="46" customFormat="false" ht="15" hidden="false" customHeight="false" outlineLevel="0" collapsed="false">
      <c r="A46" s="2" t="s">
        <v>192</v>
      </c>
    </row>
    <row r="47" customFormat="false" ht="15" hidden="false" customHeight="false" outlineLevel="0" collapsed="false">
      <c r="A47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39</v>
      </c>
    </row>
    <row r="6" customFormat="false" ht="15" hidden="false" customHeight="false" outlineLevel="0" collapsed="false">
      <c r="A6" s="14" t="s">
        <v>81</v>
      </c>
      <c r="B6" s="15" t="n">
        <v>190</v>
      </c>
    </row>
    <row r="7" customFormat="false" ht="15" hidden="false" customHeight="false" outlineLevel="0" collapsed="false">
      <c r="A7" s="14" t="s">
        <v>82</v>
      </c>
      <c r="B7" s="15" t="n">
        <v>190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195</v>
      </c>
    </row>
    <row r="11" customFormat="false" ht="15" hidden="false" customHeight="false" outlineLevel="0" collapsed="false">
      <c r="A11" s="14" t="s">
        <v>86</v>
      </c>
      <c r="B11" s="15" t="n">
        <v>210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88</v>
      </c>
      <c r="B13" s="18" t="s">
        <v>193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194</v>
      </c>
      <c r="B17" s="21" t="n">
        <v>21</v>
      </c>
      <c r="C17" s="22" t="s">
        <v>195</v>
      </c>
    </row>
    <row r="18" customFormat="false" ht="15" hidden="false" customHeight="false" outlineLevel="0" collapsed="false">
      <c r="A18" s="20" t="s">
        <v>99</v>
      </c>
      <c r="B18" s="21" t="n">
        <v>61</v>
      </c>
      <c r="C18" s="22" t="s">
        <v>196</v>
      </c>
    </row>
    <row r="19" customFormat="false" ht="15" hidden="false" customHeight="false" outlineLevel="0" collapsed="false">
      <c r="A19" s="20" t="s">
        <v>197</v>
      </c>
      <c r="B19" s="21" t="n">
        <v>10</v>
      </c>
      <c r="C19" s="22" t="s">
        <v>198</v>
      </c>
    </row>
    <row r="20" customFormat="false" ht="15" hidden="false" customHeight="false" outlineLevel="0" collapsed="false">
      <c r="A20" s="20" t="s">
        <v>93</v>
      </c>
      <c r="B20" s="21" t="n">
        <v>10.5</v>
      </c>
      <c r="C20" s="22" t="s">
        <v>199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115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113</v>
      </c>
      <c r="B26" s="23" t="s">
        <v>115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114</v>
      </c>
      <c r="B27" s="23" t="s">
        <v>143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200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15" hidden="false" customHeight="false" outlineLevel="0" collapsed="false">
      <c r="A32" s="20" t="s">
        <v>111</v>
      </c>
      <c r="B32" s="23" t="s">
        <v>115</v>
      </c>
      <c r="C32" s="24" t="n">
        <v>2</v>
      </c>
      <c r="D32" s="5" t="s">
        <v>201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113</v>
      </c>
      <c r="B33" s="23" t="s">
        <v>115</v>
      </c>
      <c r="C33" s="24" t="n">
        <v>2</v>
      </c>
      <c r="D33" s="5" t="s">
        <v>202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114</v>
      </c>
      <c r="B34" s="23" t="s">
        <v>143</v>
      </c>
      <c r="C34" s="24" t="n">
        <v>3</v>
      </c>
      <c r="D34" s="5" t="s">
        <v>203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204</v>
      </c>
    </row>
    <row r="45" customFormat="false" ht="15" hidden="false" customHeight="false" outlineLevel="0" collapsed="false">
      <c r="A45" s="2" t="s">
        <v>205</v>
      </c>
    </row>
    <row r="46" customFormat="false" ht="15" hidden="false" customHeight="false" outlineLevel="0" collapsed="false">
      <c r="A46" s="2" t="s">
        <v>206</v>
      </c>
    </row>
    <row r="47" customFormat="false" ht="15" hidden="false" customHeight="false" outlineLevel="0" collapsed="false">
      <c r="A47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43</v>
      </c>
    </row>
    <row r="6" customFormat="false" ht="15" hidden="false" customHeight="false" outlineLevel="0" collapsed="false">
      <c r="A6" s="14" t="s">
        <v>81</v>
      </c>
      <c r="B6" s="15" t="n">
        <v>30</v>
      </c>
    </row>
    <row r="7" customFormat="false" ht="15" hidden="false" customHeight="false" outlineLevel="0" collapsed="false">
      <c r="A7" s="14" t="s">
        <v>82</v>
      </c>
      <c r="B7" s="15" t="n">
        <v>30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23</v>
      </c>
    </row>
    <row r="11" customFormat="false" ht="15" hidden="false" customHeight="false" outlineLevel="0" collapsed="false">
      <c r="A11" s="14" t="s">
        <v>86</v>
      </c>
      <c r="B11" s="15" t="n">
        <v>28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88</v>
      </c>
      <c r="B13" s="18" t="s">
        <v>207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194</v>
      </c>
      <c r="B17" s="21" t="n">
        <v>21</v>
      </c>
      <c r="C17" s="22" t="s">
        <v>208</v>
      </c>
    </row>
    <row r="18" customFormat="false" ht="15" hidden="false" customHeight="false" outlineLevel="0" collapsed="false">
      <c r="A18" s="20" t="s">
        <v>209</v>
      </c>
      <c r="B18" s="21" t="n">
        <v>6.1</v>
      </c>
      <c r="C18" s="22" t="s">
        <v>210</v>
      </c>
    </row>
    <row r="19" customFormat="false" ht="15" hidden="false" customHeight="false" outlineLevel="0" collapsed="false">
      <c r="A19" s="20" t="s">
        <v>211</v>
      </c>
      <c r="B19" s="21" t="n">
        <v>4.7</v>
      </c>
      <c r="C19" s="22" t="s">
        <v>212</v>
      </c>
    </row>
    <row r="20" customFormat="false" ht="15" hidden="false" customHeight="false" outlineLevel="0" collapsed="false">
      <c r="A20" s="20" t="s">
        <v>213</v>
      </c>
      <c r="B20" s="21" t="n">
        <v>3.2</v>
      </c>
      <c r="C20" s="22" t="s">
        <v>214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115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113</v>
      </c>
      <c r="B26" s="23" t="s">
        <v>143</v>
      </c>
      <c r="C26" s="24" t="n">
        <v>2.5</v>
      </c>
      <c r="D26" s="25" t="n">
        <v>3.4</v>
      </c>
      <c r="E26" s="26" t="n">
        <v>24</v>
      </c>
      <c r="F26" s="27" t="n">
        <f aca="false">D26*E26</f>
        <v>81.6</v>
      </c>
      <c r="G26" s="28" t="n">
        <f aca="false">F26/B12</f>
        <v>3.2</v>
      </c>
      <c r="H26" s="29" t="n">
        <f aca="false">G26-1</f>
        <v>2.2</v>
      </c>
      <c r="I26" s="29" t="n">
        <f aca="false">G26^(1/C26)-1</f>
        <v>0.592428682213989</v>
      </c>
    </row>
    <row r="27" customFormat="false" ht="15" hidden="false" customHeight="false" outlineLevel="0" collapsed="false">
      <c r="A27" s="20" t="s">
        <v>114</v>
      </c>
      <c r="B27" s="23" t="s">
        <v>144</v>
      </c>
      <c r="C27" s="24" t="n">
        <v>3.5</v>
      </c>
      <c r="D27" s="25" t="n">
        <v>5</v>
      </c>
      <c r="E27" s="26" t="n">
        <v>28</v>
      </c>
      <c r="F27" s="27" t="n">
        <f aca="false">D27*E27</f>
        <v>140</v>
      </c>
      <c r="G27" s="28" t="n">
        <f aca="false">F27/B12</f>
        <v>5.49019607843137</v>
      </c>
      <c r="H27" s="29" t="n">
        <f aca="false">G27-1</f>
        <v>4.49019607843137</v>
      </c>
      <c r="I27" s="29" t="n">
        <f aca="false">G27^(1/C27)-1</f>
        <v>0.626712544544795</v>
      </c>
    </row>
    <row r="28" customFormat="false" ht="30" hidden="false" customHeight="true" outlineLevel="0" collapsed="false">
      <c r="A28" s="18" t="s">
        <v>215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15" hidden="false" customHeight="false" outlineLevel="0" collapsed="false">
      <c r="A32" s="20" t="s">
        <v>111</v>
      </c>
      <c r="B32" s="23" t="s">
        <v>115</v>
      </c>
      <c r="C32" s="24" t="n">
        <v>2</v>
      </c>
      <c r="D32" s="5" t="s">
        <v>216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23.85" hidden="false" customHeight="false" outlineLevel="0" collapsed="false">
      <c r="A33" s="20" t="s">
        <v>113</v>
      </c>
      <c r="B33" s="23" t="s">
        <v>143</v>
      </c>
      <c r="C33" s="24" t="n">
        <v>2.5</v>
      </c>
      <c r="D33" s="5" t="s">
        <v>217</v>
      </c>
      <c r="E33" s="25" t="n">
        <v>81.6</v>
      </c>
      <c r="F33" s="28" t="n">
        <f aca="false">E33/B12</f>
        <v>3.2</v>
      </c>
      <c r="G33" s="29" t="n">
        <f aca="false">F33-1</f>
        <v>2.2</v>
      </c>
      <c r="H33" s="29" t="n">
        <f aca="false">F33^(1/C33)-1</f>
        <v>0.592428682213989</v>
      </c>
    </row>
    <row r="34" customFormat="false" ht="23.85" hidden="false" customHeight="false" outlineLevel="0" collapsed="false">
      <c r="A34" s="20" t="s">
        <v>114</v>
      </c>
      <c r="B34" s="23" t="s">
        <v>144</v>
      </c>
      <c r="C34" s="24" t="n">
        <v>3.5</v>
      </c>
      <c r="D34" s="5" t="s">
        <v>218</v>
      </c>
      <c r="E34" s="25" t="n">
        <v>140</v>
      </c>
      <c r="F34" s="28" t="n">
        <f aca="false">E34/B12</f>
        <v>5.49019607843137</v>
      </c>
      <c r="G34" s="29" t="n">
        <f aca="false">F34-1</f>
        <v>4.49019607843137</v>
      </c>
      <c r="H34" s="29" t="n">
        <f aca="false">F34^(1/C34)-1</f>
        <v>0.626712544544795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81.6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2.2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0.592428682213989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1.17647058823529</v>
      </c>
      <c r="C40" s="30" t="n">
        <f aca="false">MAX(G27,F34)</f>
        <v>5.49019607843137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2.91428571428571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219</v>
      </c>
    </row>
    <row r="45" customFormat="false" ht="15" hidden="false" customHeight="false" outlineLevel="0" collapsed="false">
      <c r="A45" s="2" t="s">
        <v>220</v>
      </c>
    </row>
    <row r="46" customFormat="false" ht="15" hidden="false" customHeight="false" outlineLevel="0" collapsed="false">
      <c r="A46" s="2" t="s">
        <v>221</v>
      </c>
    </row>
    <row r="47" customFormat="false" ht="15" hidden="false" customHeight="false" outlineLevel="0" collapsed="false">
      <c r="A47" s="2" t="s">
        <v>222</v>
      </c>
    </row>
    <row r="48" customFormat="false" ht="15" hidden="false" customHeight="false" outlineLevel="0" collapsed="false">
      <c r="A48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12" t="s">
        <v>46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47</v>
      </c>
    </row>
    <row r="6" customFormat="false" ht="15" hidden="false" customHeight="false" outlineLevel="0" collapsed="false">
      <c r="A6" s="14" t="s">
        <v>81</v>
      </c>
      <c r="B6" s="15" t="n">
        <v>425</v>
      </c>
    </row>
    <row r="7" customFormat="false" ht="15" hidden="false" customHeight="false" outlineLevel="0" collapsed="false">
      <c r="A7" s="14" t="s">
        <v>82</v>
      </c>
      <c r="B7" s="15" t="n">
        <v>425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590</v>
      </c>
    </row>
    <row r="11" customFormat="false" ht="15" hidden="false" customHeight="false" outlineLevel="0" collapsed="false">
      <c r="A11" s="14" t="s">
        <v>86</v>
      </c>
      <c r="B11" s="15" t="n">
        <v>610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88</v>
      </c>
      <c r="B13" s="18" t="s">
        <v>223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98</v>
      </c>
      <c r="B17" s="21" t="n">
        <v>7.5</v>
      </c>
      <c r="C17" s="22" t="s">
        <v>224</v>
      </c>
    </row>
    <row r="18" customFormat="false" ht="15" hidden="false" customHeight="false" outlineLevel="0" collapsed="false">
      <c r="A18" s="20" t="s">
        <v>225</v>
      </c>
      <c r="B18" s="21" t="n">
        <v>10.7</v>
      </c>
      <c r="C18" s="22" t="s">
        <v>226</v>
      </c>
    </row>
    <row r="19" customFormat="false" ht="15" hidden="false" customHeight="false" outlineLevel="0" collapsed="false">
      <c r="A19" s="20" t="s">
        <v>227</v>
      </c>
      <c r="B19" s="21" t="n">
        <v>4.5</v>
      </c>
      <c r="C19" s="22" t="s">
        <v>228</v>
      </c>
    </row>
    <row r="20" customFormat="false" ht="15" hidden="false" customHeight="false" outlineLevel="0" collapsed="false">
      <c r="A20" s="20" t="s">
        <v>229</v>
      </c>
      <c r="B20" s="21" t="n">
        <v>2</v>
      </c>
      <c r="C20" s="22" t="s">
        <v>230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115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113</v>
      </c>
      <c r="B26" s="23" t="s">
        <v>115</v>
      </c>
      <c r="C26" s="24" t="n">
        <v>2</v>
      </c>
      <c r="D26" s="25" t="n">
        <v>300</v>
      </c>
      <c r="E26" s="26" t="n">
        <v>4</v>
      </c>
      <c r="F26" s="27" t="n">
        <f aca="false">D26*E26</f>
        <v>1200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0.414213562373095</v>
      </c>
    </row>
    <row r="27" customFormat="false" ht="15" hidden="false" customHeight="false" outlineLevel="0" collapsed="false">
      <c r="A27" s="20" t="s">
        <v>114</v>
      </c>
      <c r="B27" s="23" t="s">
        <v>143</v>
      </c>
      <c r="C27" s="24" t="n">
        <v>3</v>
      </c>
      <c r="D27" s="25" t="n">
        <v>340</v>
      </c>
      <c r="E27" s="26" t="n">
        <v>4.5</v>
      </c>
      <c r="F27" s="27" t="n">
        <f aca="false">D27*E27</f>
        <v>1530</v>
      </c>
      <c r="G27" s="28" t="n">
        <f aca="false">F27/B12</f>
        <v>2.55</v>
      </c>
      <c r="H27" s="29" t="n">
        <f aca="false">G27-1</f>
        <v>1.55</v>
      </c>
      <c r="I27" s="29" t="n">
        <f aca="false">G27^(1/C27)-1</f>
        <v>0.366197208047234</v>
      </c>
    </row>
    <row r="28" customFormat="false" ht="30" hidden="false" customHeight="true" outlineLevel="0" collapsed="false">
      <c r="A28" s="18" t="s">
        <v>231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23.85" hidden="false" customHeight="false" outlineLevel="0" collapsed="false">
      <c r="A32" s="20" t="s">
        <v>111</v>
      </c>
      <c r="B32" s="23" t="s">
        <v>115</v>
      </c>
      <c r="C32" s="24" t="n">
        <v>2</v>
      </c>
      <c r="D32" s="5" t="s">
        <v>232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113</v>
      </c>
      <c r="B33" s="23" t="s">
        <v>115</v>
      </c>
      <c r="C33" s="24" t="n">
        <v>2</v>
      </c>
      <c r="D33" s="5" t="s">
        <v>233</v>
      </c>
      <c r="E33" s="25" t="n">
        <v>1200</v>
      </c>
      <c r="F33" s="28" t="n">
        <f aca="false">E33/B12</f>
        <v>2</v>
      </c>
      <c r="G33" s="29" t="n">
        <f aca="false">F33-1</f>
        <v>1</v>
      </c>
      <c r="H33" s="29" t="n">
        <f aca="false">F33^(1/C33)-1</f>
        <v>0.414213562373095</v>
      </c>
    </row>
    <row r="34" customFormat="false" ht="15" hidden="false" customHeight="false" outlineLevel="0" collapsed="false">
      <c r="A34" s="20" t="s">
        <v>114</v>
      </c>
      <c r="B34" s="23" t="s">
        <v>143</v>
      </c>
      <c r="C34" s="24" t="n">
        <v>3</v>
      </c>
      <c r="D34" s="5" t="s">
        <v>234</v>
      </c>
      <c r="E34" s="25" t="n">
        <v>1600</v>
      </c>
      <c r="F34" s="28" t="n">
        <f aca="false">E34/B12</f>
        <v>2.66666666666667</v>
      </c>
      <c r="G34" s="29" t="n">
        <f aca="false">F34-1</f>
        <v>1.66666666666667</v>
      </c>
      <c r="H34" s="29" t="n">
        <f aca="false">F34^(1/C34)-1</f>
        <v>0.386722548701269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1200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0.414213562373095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1</v>
      </c>
      <c r="C40" s="30" t="n">
        <f aca="false">MAX(G27,F34)</f>
        <v>2.66666666666667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1.9672131147541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235</v>
      </c>
    </row>
    <row r="45" customFormat="false" ht="15" hidden="false" customHeight="false" outlineLevel="0" collapsed="false">
      <c r="A45" s="2" t="s">
        <v>236</v>
      </c>
    </row>
    <row r="46" customFormat="false" ht="15" hidden="false" customHeight="false" outlineLevel="0" collapsed="false">
      <c r="A46" s="2" t="s">
        <v>237</v>
      </c>
    </row>
    <row r="47" customFormat="false" ht="15" hidden="false" customHeight="false" outlineLevel="0" collapsed="false">
      <c r="A47" s="2" t="s">
        <v>238</v>
      </c>
    </row>
    <row r="48" customFormat="false" ht="15" hidden="false" customHeight="false" outlineLevel="0" collapsed="false">
      <c r="A48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12" t="s">
        <v>50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51</v>
      </c>
    </row>
    <row r="6" customFormat="false" ht="15" hidden="false" customHeight="false" outlineLevel="0" collapsed="false">
      <c r="A6" s="14" t="s">
        <v>81</v>
      </c>
      <c r="B6" s="15" t="n">
        <v>7.2</v>
      </c>
    </row>
    <row r="7" customFormat="false" ht="15" hidden="false" customHeight="false" outlineLevel="0" collapsed="false">
      <c r="A7" s="14" t="s">
        <v>82</v>
      </c>
      <c r="B7" s="15" t="n">
        <v>7.2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6.5</v>
      </c>
    </row>
    <row r="11" customFormat="false" ht="15" hidden="false" customHeight="false" outlineLevel="0" collapsed="false">
      <c r="A11" s="14" t="s">
        <v>86</v>
      </c>
      <c r="B11" s="15" t="n">
        <v>7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6.75</v>
      </c>
    </row>
    <row r="13" customFormat="false" ht="42" hidden="false" customHeight="true" outlineLevel="0" collapsed="false">
      <c r="A13" s="14" t="s">
        <v>88</v>
      </c>
      <c r="B13" s="18" t="s">
        <v>239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99</v>
      </c>
      <c r="B17" s="21" t="n">
        <v>61</v>
      </c>
      <c r="C17" s="22" t="s">
        <v>240</v>
      </c>
    </row>
    <row r="18" customFormat="false" ht="15" hidden="false" customHeight="false" outlineLevel="0" collapsed="false">
      <c r="A18" s="20" t="s">
        <v>194</v>
      </c>
      <c r="B18" s="21" t="n">
        <v>21.3</v>
      </c>
      <c r="C18" s="22" t="s">
        <v>164</v>
      </c>
    </row>
    <row r="19" customFormat="false" ht="15" hidden="false" customHeight="false" outlineLevel="0" collapsed="false">
      <c r="A19" s="20" t="s">
        <v>241</v>
      </c>
      <c r="B19" s="21" t="n">
        <v>20.9</v>
      </c>
      <c r="C19" s="22" t="s">
        <v>164</v>
      </c>
    </row>
    <row r="20" customFormat="false" ht="15" hidden="false" customHeight="false" outlineLevel="0" collapsed="false">
      <c r="A20" s="20" t="s">
        <v>197</v>
      </c>
      <c r="B20" s="21" t="n">
        <v>9.5</v>
      </c>
      <c r="C20" s="22" t="s">
        <v>164</v>
      </c>
    </row>
    <row r="21" customFormat="false" ht="15" hidden="false" customHeight="false" outlineLevel="0" collapsed="false">
      <c r="A21" s="20" t="s">
        <v>242</v>
      </c>
      <c r="B21" s="21" t="n">
        <v>8.2</v>
      </c>
      <c r="C21" s="22" t="s">
        <v>243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115</v>
      </c>
      <c r="C25" s="24" t="n">
        <v>2</v>
      </c>
      <c r="D25" s="25" t="n">
        <v>0.6</v>
      </c>
      <c r="E25" s="26" t="n">
        <v>12</v>
      </c>
      <c r="F25" s="27" t="n">
        <f aca="false">D25*E25</f>
        <v>7.2</v>
      </c>
      <c r="G25" s="28" t="n">
        <f aca="false">F25/B12</f>
        <v>1.06666666666667</v>
      </c>
      <c r="H25" s="29" t="n">
        <f aca="false">G25-1</f>
        <v>0.0666666666666667</v>
      </c>
      <c r="I25" s="29" t="n">
        <f aca="false">G25^(1/C25)-1</f>
        <v>0.0327955589886444</v>
      </c>
    </row>
    <row r="26" customFormat="false" ht="15" hidden="false" customHeight="false" outlineLevel="0" collapsed="false">
      <c r="A26" s="20" t="s">
        <v>113</v>
      </c>
      <c r="B26" s="23" t="s">
        <v>143</v>
      </c>
      <c r="C26" s="24" t="n">
        <v>2.5</v>
      </c>
      <c r="D26" s="25" t="n">
        <v>1.25</v>
      </c>
      <c r="E26" s="26" t="n">
        <v>20</v>
      </c>
      <c r="F26" s="27" t="n">
        <f aca="false">D26*E26</f>
        <v>25</v>
      </c>
      <c r="G26" s="28" t="n">
        <f aca="false">F26/B12</f>
        <v>3.7037037037037</v>
      </c>
      <c r="H26" s="29" t="n">
        <f aca="false">G26-1</f>
        <v>2.7037037037037</v>
      </c>
      <c r="I26" s="29" t="n">
        <f aca="false">G26^(1/C26)-1</f>
        <v>0.688318947040394</v>
      </c>
    </row>
    <row r="27" customFormat="false" ht="15" hidden="false" customHeight="false" outlineLevel="0" collapsed="false">
      <c r="A27" s="20" t="s">
        <v>114</v>
      </c>
      <c r="B27" s="23" t="s">
        <v>144</v>
      </c>
      <c r="C27" s="24" t="n">
        <v>3.5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7.40740740740741</v>
      </c>
      <c r="H27" s="29" t="n">
        <f aca="false">G27-1</f>
        <v>6.40740740740741</v>
      </c>
      <c r="I27" s="29" t="n">
        <f aca="false">G27^(1/C27)-1</f>
        <v>0.772050385209221</v>
      </c>
    </row>
    <row r="28" customFormat="false" ht="30" hidden="false" customHeight="true" outlineLevel="0" collapsed="false">
      <c r="A28" s="18" t="s">
        <v>244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23.85" hidden="false" customHeight="false" outlineLevel="0" collapsed="false">
      <c r="A32" s="20" t="s">
        <v>111</v>
      </c>
      <c r="B32" s="23" t="s">
        <v>115</v>
      </c>
      <c r="C32" s="24" t="n">
        <v>2</v>
      </c>
      <c r="D32" s="5" t="s">
        <v>245</v>
      </c>
      <c r="E32" s="25" t="n">
        <v>10</v>
      </c>
      <c r="F32" s="28" t="n">
        <f aca="false">E32/B12</f>
        <v>1.48148148148148</v>
      </c>
      <c r="G32" s="29" t="n">
        <f aca="false">F32-1</f>
        <v>0.481481481481481</v>
      </c>
      <c r="H32" s="29" t="n">
        <f aca="false">F32^(1/C32)-1</f>
        <v>0.217161238900369</v>
      </c>
    </row>
    <row r="33" customFormat="false" ht="15" hidden="false" customHeight="false" outlineLevel="0" collapsed="false">
      <c r="A33" s="20" t="s">
        <v>113</v>
      </c>
      <c r="B33" s="23" t="s">
        <v>143</v>
      </c>
      <c r="C33" s="24" t="n">
        <v>2.5</v>
      </c>
      <c r="D33" s="5" t="s">
        <v>246</v>
      </c>
      <c r="E33" s="25" t="n">
        <v>25</v>
      </c>
      <c r="F33" s="28" t="n">
        <f aca="false">E33/B12</f>
        <v>3.7037037037037</v>
      </c>
      <c r="G33" s="29" t="n">
        <f aca="false">F33-1</f>
        <v>2.7037037037037</v>
      </c>
      <c r="H33" s="29" t="n">
        <f aca="false">F33^(1/C33)-1</f>
        <v>0.688318947040394</v>
      </c>
    </row>
    <row r="34" customFormat="false" ht="15" hidden="false" customHeight="false" outlineLevel="0" collapsed="false">
      <c r="A34" s="20" t="s">
        <v>114</v>
      </c>
      <c r="B34" s="23" t="s">
        <v>144</v>
      </c>
      <c r="C34" s="24" t="n">
        <v>3.5</v>
      </c>
      <c r="D34" s="5" t="s">
        <v>247</v>
      </c>
      <c r="E34" s="25" t="n">
        <v>45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3.7037037037037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2.7037037037037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0.688318947040394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1.06666666666667</v>
      </c>
      <c r="C40" s="30" t="n">
        <f aca="false">MAX(G27,F34)</f>
        <v>7.40740740740741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3.57142857142857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248</v>
      </c>
    </row>
    <row r="45" customFormat="false" ht="15" hidden="false" customHeight="false" outlineLevel="0" collapsed="false">
      <c r="A45" s="2" t="s">
        <v>249</v>
      </c>
    </row>
    <row r="46" customFormat="false" ht="15" hidden="false" customHeight="false" outlineLevel="0" collapsed="false">
      <c r="A46" s="2" t="s">
        <v>250</v>
      </c>
    </row>
    <row r="47" customFormat="false" ht="15" hidden="false" customHeight="false" outlineLevel="0" collapsed="false">
      <c r="A47" s="2" t="s">
        <v>251</v>
      </c>
    </row>
    <row r="48" customFormat="false" ht="15" hidden="false" customHeight="false" outlineLevel="0" collapsed="false">
      <c r="A48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12" t="s">
        <v>53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54</v>
      </c>
    </row>
    <row r="6" customFormat="false" ht="15" hidden="false" customHeight="false" outlineLevel="0" collapsed="false">
      <c r="A6" s="14" t="s">
        <v>81</v>
      </c>
      <c r="B6" s="15" t="n">
        <v>4.4</v>
      </c>
    </row>
    <row r="7" customFormat="false" ht="15" hidden="false" customHeight="false" outlineLevel="0" collapsed="false">
      <c r="A7" s="14" t="s">
        <v>82</v>
      </c>
      <c r="B7" s="15" t="n">
        <v>4.4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4.5</v>
      </c>
    </row>
    <row r="11" customFormat="false" ht="15" hidden="false" customHeight="false" outlineLevel="0" collapsed="false">
      <c r="A11" s="14" t="s">
        <v>86</v>
      </c>
      <c r="B11" s="15" t="n">
        <v>5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88</v>
      </c>
      <c r="B13" s="18" t="s">
        <v>252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253</v>
      </c>
      <c r="B17" s="21" t="n">
        <v>21.1</v>
      </c>
      <c r="C17" s="22" t="s">
        <v>254</v>
      </c>
    </row>
    <row r="18" customFormat="false" ht="15" hidden="false" customHeight="false" outlineLevel="0" collapsed="false">
      <c r="A18" s="20" t="s">
        <v>95</v>
      </c>
      <c r="B18" s="21" t="n">
        <v>20.6</v>
      </c>
      <c r="C18" s="22" t="s">
        <v>164</v>
      </c>
    </row>
    <row r="19" customFormat="false" ht="15" hidden="false" customHeight="false" outlineLevel="0" collapsed="false">
      <c r="A19" s="20" t="s">
        <v>182</v>
      </c>
      <c r="B19" s="21" t="n">
        <v>14.2</v>
      </c>
      <c r="C19" s="22" t="s">
        <v>255</v>
      </c>
    </row>
    <row r="20" customFormat="false" ht="15" hidden="false" customHeight="false" outlineLevel="0" collapsed="false">
      <c r="A20" s="20" t="s">
        <v>256</v>
      </c>
      <c r="B20" s="21" t="n">
        <v>10.3</v>
      </c>
      <c r="C20" s="22" t="s">
        <v>257</v>
      </c>
    </row>
    <row r="21" customFormat="false" ht="15" hidden="false" customHeight="false" outlineLevel="0" collapsed="false">
      <c r="A21" s="20" t="s">
        <v>184</v>
      </c>
      <c r="B21" s="21" t="n">
        <v>9.4</v>
      </c>
      <c r="C21" s="22" t="s">
        <v>255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143</v>
      </c>
      <c r="C25" s="24" t="n">
        <v>3</v>
      </c>
      <c r="D25" s="25" t="n">
        <v>0.4</v>
      </c>
      <c r="E25" s="26" t="n">
        <v>10</v>
      </c>
      <c r="F25" s="27" t="n">
        <f aca="false">D25*E25</f>
        <v>4</v>
      </c>
      <c r="G25" s="28" t="n">
        <f aca="false">F25/B12</f>
        <v>0.842105263157895</v>
      </c>
      <c r="H25" s="29" t="n">
        <f aca="false">G25-1</f>
        <v>-0.157894736842105</v>
      </c>
      <c r="I25" s="29" t="n">
        <f aca="false">G25^(1/C25)-1</f>
        <v>-0.0556736085826332</v>
      </c>
    </row>
    <row r="26" customFormat="false" ht="15" hidden="false" customHeight="false" outlineLevel="0" collapsed="false">
      <c r="A26" s="20" t="s">
        <v>113</v>
      </c>
      <c r="B26" s="23" t="s">
        <v>144</v>
      </c>
      <c r="C26" s="24" t="n">
        <v>3.5</v>
      </c>
      <c r="D26" s="25" t="n">
        <v>1.45</v>
      </c>
      <c r="E26" s="26" t="n">
        <v>14</v>
      </c>
      <c r="F26" s="27" t="n">
        <f aca="false">D26*E26</f>
        <v>20.3</v>
      </c>
      <c r="G26" s="28" t="n">
        <f aca="false">F26/B12</f>
        <v>4.27368421052632</v>
      </c>
      <c r="H26" s="29" t="n">
        <f aca="false">G26-1</f>
        <v>3.27368421052632</v>
      </c>
      <c r="I26" s="29" t="n">
        <f aca="false">G26^(1/C26)-1</f>
        <v>0.5143604724284</v>
      </c>
    </row>
    <row r="27" customFormat="false" ht="15" hidden="false" customHeight="false" outlineLevel="0" collapsed="false">
      <c r="A27" s="20" t="s">
        <v>114</v>
      </c>
      <c r="B27" s="23" t="s">
        <v>185</v>
      </c>
      <c r="C27" s="24" t="n">
        <v>4.5</v>
      </c>
      <c r="D27" s="25" t="n">
        <v>2.8</v>
      </c>
      <c r="E27" s="26" t="n">
        <v>18</v>
      </c>
      <c r="F27" s="27" t="n">
        <f aca="false">D27*E27</f>
        <v>50.4</v>
      </c>
      <c r="G27" s="28" t="n">
        <f aca="false">F27/B12</f>
        <v>10.6105263157895</v>
      </c>
      <c r="H27" s="29" t="n">
        <f aca="false">G27-1</f>
        <v>9.61052631578947</v>
      </c>
      <c r="I27" s="29" t="n">
        <f aca="false">G27^(1/C27)-1</f>
        <v>0.69021339543408</v>
      </c>
    </row>
    <row r="28" customFormat="false" ht="30" hidden="false" customHeight="true" outlineLevel="0" collapsed="false">
      <c r="A28" s="18" t="s">
        <v>258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23.85" hidden="false" customHeight="false" outlineLevel="0" collapsed="false">
      <c r="A32" s="20" t="s">
        <v>111</v>
      </c>
      <c r="B32" s="23" t="s">
        <v>143</v>
      </c>
      <c r="C32" s="24" t="n">
        <v>3</v>
      </c>
      <c r="D32" s="5" t="s">
        <v>259</v>
      </c>
      <c r="E32" s="25" t="n">
        <v>5.5</v>
      </c>
      <c r="F32" s="28" t="n">
        <f aca="false">E32/B12</f>
        <v>1.15789473684211</v>
      </c>
      <c r="G32" s="29" t="n">
        <f aca="false">F32-1</f>
        <v>0.157894736842105</v>
      </c>
      <c r="H32" s="29" t="n">
        <f aca="false">F32^(1/C32)-1</f>
        <v>0.0500815467556952</v>
      </c>
    </row>
    <row r="33" customFormat="false" ht="23.85" hidden="false" customHeight="false" outlineLevel="0" collapsed="false">
      <c r="A33" s="20" t="s">
        <v>113</v>
      </c>
      <c r="B33" s="23" t="s">
        <v>144</v>
      </c>
      <c r="C33" s="24" t="n">
        <v>3.5</v>
      </c>
      <c r="D33" s="5" t="s">
        <v>260</v>
      </c>
      <c r="E33" s="25" t="n">
        <v>20.55</v>
      </c>
      <c r="F33" s="28" t="n">
        <f aca="false">E33/B12</f>
        <v>4.32631578947369</v>
      </c>
      <c r="G33" s="29" t="n">
        <f aca="false">F33-1</f>
        <v>3.32631578947369</v>
      </c>
      <c r="H33" s="29" t="n">
        <f aca="false">F33^(1/C33)-1</f>
        <v>0.519665702297149</v>
      </c>
    </row>
    <row r="34" customFormat="false" ht="15" hidden="false" customHeight="false" outlineLevel="0" collapsed="false">
      <c r="A34" s="20" t="s">
        <v>114</v>
      </c>
      <c r="B34" s="23" t="s">
        <v>185</v>
      </c>
      <c r="C34" s="24" t="n">
        <v>4.5</v>
      </c>
      <c r="D34" s="5" t="s">
        <v>261</v>
      </c>
      <c r="E34" s="25" t="n">
        <v>35</v>
      </c>
      <c r="F34" s="28" t="n">
        <f aca="false">E34/B12</f>
        <v>7.36842105263158</v>
      </c>
      <c r="G34" s="29" t="n">
        <f aca="false">F34-1</f>
        <v>6.36842105263158</v>
      </c>
      <c r="H34" s="29" t="n">
        <f aca="false">F34^(1/C34)-1</f>
        <v>0.558654559754822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20.425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4.3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3.3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0.517018885214634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0.842105263157895</v>
      </c>
      <c r="C40" s="30" t="n">
        <f aca="false">MAX(G27,F34)</f>
        <v>10.6105263157895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4.085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262</v>
      </c>
    </row>
    <row r="45" customFormat="false" ht="15" hidden="false" customHeight="false" outlineLevel="0" collapsed="false">
      <c r="A45" s="2" t="s">
        <v>263</v>
      </c>
    </row>
    <row r="46" customFormat="false" ht="15" hidden="false" customHeight="false" outlineLevel="0" collapsed="false">
      <c r="A46" s="2" t="s">
        <v>264</v>
      </c>
    </row>
    <row r="47" customFormat="false" ht="15" hidden="false" customHeight="false" outlineLevel="0" collapsed="false">
      <c r="A47" s="2" t="s">
        <v>265</v>
      </c>
    </row>
    <row r="48" customFormat="false" ht="15" hidden="false" customHeight="false" outlineLevel="0" collapsed="false">
      <c r="A48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12" t="s">
        <v>56</v>
      </c>
    </row>
    <row r="4" customFormat="false" ht="15" hidden="false" customHeight="false" outlineLevel="0" collapsed="false">
      <c r="A4" s="13" t="s">
        <v>79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80</v>
      </c>
      <c r="B5" s="14" t="s">
        <v>57</v>
      </c>
    </row>
    <row r="6" customFormat="false" ht="15" hidden="false" customHeight="false" outlineLevel="0" collapsed="false">
      <c r="A6" s="14" t="s">
        <v>81</v>
      </c>
      <c r="B6" s="15" t="n">
        <v>7</v>
      </c>
    </row>
    <row r="7" customFormat="false" ht="15" hidden="false" customHeight="false" outlineLevel="0" collapsed="false">
      <c r="A7" s="14" t="s">
        <v>82</v>
      </c>
      <c r="B7" s="15" t="n">
        <v>7</v>
      </c>
    </row>
    <row r="8" customFormat="false" ht="15" hidden="false" customHeight="false" outlineLevel="0" collapsed="false">
      <c r="A8" s="14" t="s">
        <v>83</v>
      </c>
      <c r="B8" s="16" t="n">
        <v>0.08</v>
      </c>
    </row>
    <row r="9" customFormat="false" ht="15" hidden="false" customHeight="false" outlineLevel="0" collapsed="false">
      <c r="A9" s="14" t="s">
        <v>84</v>
      </c>
      <c r="B9" s="16" t="n">
        <v>0.15</v>
      </c>
    </row>
    <row r="10" customFormat="false" ht="15" hidden="false" customHeight="false" outlineLevel="0" collapsed="false">
      <c r="A10" s="14" t="s">
        <v>85</v>
      </c>
      <c r="B10" s="15" t="n">
        <v>6</v>
      </c>
    </row>
    <row r="11" customFormat="false" ht="15" hidden="false" customHeight="false" outlineLevel="0" collapsed="false">
      <c r="A11" s="14" t="s">
        <v>86</v>
      </c>
      <c r="B11" s="15" t="n">
        <v>6.5</v>
      </c>
    </row>
    <row r="12" customFormat="false" ht="15" hidden="false" customHeight="false" outlineLevel="0" collapsed="false">
      <c r="A12" s="14" t="s">
        <v>87</v>
      </c>
      <c r="B12" s="17" t="n">
        <f aca="false">AVERAGE(B10:B11)</f>
        <v>6.25</v>
      </c>
    </row>
    <row r="13" customFormat="false" ht="42" hidden="false" customHeight="true" outlineLevel="0" collapsed="false">
      <c r="A13" s="14" t="s">
        <v>88</v>
      </c>
      <c r="B13" s="18" t="s">
        <v>266</v>
      </c>
    </row>
    <row r="15" customFormat="false" ht="15" hidden="false" customHeight="false" outlineLevel="0" collapsed="false">
      <c r="A15" s="13" t="s">
        <v>90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91</v>
      </c>
      <c r="C16" s="19" t="s">
        <v>92</v>
      </c>
    </row>
    <row r="17" customFormat="false" ht="15" hidden="false" customHeight="false" outlineLevel="0" collapsed="false">
      <c r="A17" s="20" t="s">
        <v>267</v>
      </c>
      <c r="B17" s="21" t="n">
        <v>58</v>
      </c>
      <c r="C17" s="22" t="s">
        <v>268</v>
      </c>
    </row>
    <row r="18" customFormat="false" ht="15" hidden="false" customHeight="false" outlineLevel="0" collapsed="false">
      <c r="A18" s="20" t="s">
        <v>269</v>
      </c>
      <c r="B18" s="21" t="n">
        <v>200</v>
      </c>
      <c r="C18" s="22" t="s">
        <v>270</v>
      </c>
    </row>
    <row r="19" customFormat="false" ht="15" hidden="false" customHeight="false" outlineLevel="0" collapsed="false">
      <c r="A19" s="20" t="s">
        <v>271</v>
      </c>
      <c r="B19" s="21" t="n">
        <v>157</v>
      </c>
      <c r="C19" s="22" t="s">
        <v>272</v>
      </c>
    </row>
    <row r="20" customFormat="false" ht="15" hidden="false" customHeight="false" outlineLevel="0" collapsed="false">
      <c r="A20" s="20" t="s">
        <v>273</v>
      </c>
      <c r="B20" s="21" t="n">
        <v>15.6</v>
      </c>
      <c r="C20" s="22" t="s">
        <v>274</v>
      </c>
    </row>
    <row r="23" customFormat="false" ht="15" hidden="false" customHeight="false" outlineLevel="0" collapsed="false">
      <c r="A23" s="13" t="s">
        <v>101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102</v>
      </c>
      <c r="B24" s="3" t="s">
        <v>103</v>
      </c>
      <c r="C24" s="3" t="s">
        <v>104</v>
      </c>
      <c r="D24" s="3" t="s">
        <v>105</v>
      </c>
      <c r="E24" s="3" t="s">
        <v>106</v>
      </c>
      <c r="F24" s="3" t="s">
        <v>107</v>
      </c>
      <c r="G24" s="3" t="s">
        <v>108</v>
      </c>
      <c r="H24" s="3" t="s">
        <v>109</v>
      </c>
      <c r="I24" s="3" t="s">
        <v>110</v>
      </c>
    </row>
    <row r="25" customFormat="false" ht="15" hidden="false" customHeight="false" outlineLevel="0" collapsed="false">
      <c r="A25" s="20" t="s">
        <v>111</v>
      </c>
      <c r="B25" s="23" t="s">
        <v>143</v>
      </c>
      <c r="C25" s="24" t="n">
        <v>3.5</v>
      </c>
      <c r="D25" s="25" t="n">
        <v>0.3</v>
      </c>
      <c r="E25" s="26" t="n">
        <v>25</v>
      </c>
      <c r="F25" s="27" t="n">
        <f aca="false">D25*E25</f>
        <v>7.5</v>
      </c>
      <c r="G25" s="28" t="n">
        <f aca="false">F25/B12</f>
        <v>1.2</v>
      </c>
      <c r="H25" s="29" t="n">
        <f aca="false">G25-1</f>
        <v>0.2</v>
      </c>
      <c r="I25" s="29" t="n">
        <f aca="false">G25^(1/C25)-1</f>
        <v>0.05347252413815</v>
      </c>
    </row>
    <row r="26" customFormat="false" ht="15" hidden="false" customHeight="false" outlineLevel="0" collapsed="false">
      <c r="A26" s="20" t="s">
        <v>113</v>
      </c>
      <c r="B26" s="23" t="s">
        <v>144</v>
      </c>
      <c r="C26" s="24" t="n">
        <v>4.5</v>
      </c>
      <c r="D26" s="25" t="n">
        <v>1.45</v>
      </c>
      <c r="E26" s="26" t="n">
        <v>30</v>
      </c>
      <c r="F26" s="27" t="n">
        <f aca="false">D26*E26</f>
        <v>43.5</v>
      </c>
      <c r="G26" s="28" t="n">
        <f aca="false">F26/B12</f>
        <v>6.96</v>
      </c>
      <c r="H26" s="29" t="n">
        <f aca="false">G26-1</f>
        <v>5.96</v>
      </c>
      <c r="I26" s="29" t="n">
        <f aca="false">G26^(1/C26)-1</f>
        <v>0.539027916855115</v>
      </c>
    </row>
    <row r="27" customFormat="false" ht="15" hidden="false" customHeight="false" outlineLevel="0" collapsed="false">
      <c r="A27" s="20" t="s">
        <v>114</v>
      </c>
      <c r="B27" s="23" t="s">
        <v>185</v>
      </c>
      <c r="C27" s="24" t="n">
        <v>5.5</v>
      </c>
      <c r="D27" s="25" t="n">
        <v>3</v>
      </c>
      <c r="E27" s="26" t="n">
        <v>35</v>
      </c>
      <c r="F27" s="27" t="n">
        <f aca="false">D27*E27</f>
        <v>105</v>
      </c>
      <c r="G27" s="28" t="n">
        <f aca="false">F27/B12</f>
        <v>16.8</v>
      </c>
      <c r="H27" s="29" t="n">
        <f aca="false">G27-1</f>
        <v>15.8</v>
      </c>
      <c r="I27" s="29" t="n">
        <f aca="false">G27^(1/C27)-1</f>
        <v>0.670257789268589</v>
      </c>
    </row>
    <row r="28" customFormat="false" ht="30" hidden="false" customHeight="true" outlineLevel="0" collapsed="false">
      <c r="A28" s="18" t="s">
        <v>275</v>
      </c>
    </row>
    <row r="30" customFormat="false" ht="15" hidden="false" customHeight="false" outlineLevel="0" collapsed="false">
      <c r="A30" s="13" t="s">
        <v>117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102</v>
      </c>
      <c r="B31" s="3" t="s">
        <v>103</v>
      </c>
      <c r="C31" s="3" t="s">
        <v>104</v>
      </c>
      <c r="D31" s="3" t="s">
        <v>118</v>
      </c>
      <c r="E31" s="3" t="s">
        <v>107</v>
      </c>
      <c r="F31" s="3" t="s">
        <v>108</v>
      </c>
      <c r="G31" s="3" t="s">
        <v>109</v>
      </c>
      <c r="H31" s="3" t="s">
        <v>110</v>
      </c>
    </row>
    <row r="32" customFormat="false" ht="15" hidden="false" customHeight="false" outlineLevel="0" collapsed="false">
      <c r="A32" s="20" t="s">
        <v>111</v>
      </c>
      <c r="B32" s="23" t="s">
        <v>143</v>
      </c>
      <c r="C32" s="24" t="n">
        <v>3.5</v>
      </c>
      <c r="D32" s="5" t="s">
        <v>276</v>
      </c>
      <c r="E32" s="25" t="n">
        <v>8</v>
      </c>
      <c r="F32" s="28" t="n">
        <f aca="false">E32/B12</f>
        <v>1.28</v>
      </c>
      <c r="G32" s="29" t="n">
        <f aca="false">F32-1</f>
        <v>0.28</v>
      </c>
      <c r="H32" s="29" t="n">
        <f aca="false">F32^(1/C32)-1</f>
        <v>0.0730783181118904</v>
      </c>
    </row>
    <row r="33" customFormat="false" ht="23.85" hidden="false" customHeight="false" outlineLevel="0" collapsed="false">
      <c r="A33" s="20" t="s">
        <v>113</v>
      </c>
      <c r="B33" s="23" t="s">
        <v>144</v>
      </c>
      <c r="C33" s="24" t="n">
        <v>4.5</v>
      </c>
      <c r="D33" s="5" t="s">
        <v>277</v>
      </c>
      <c r="E33" s="25" t="n">
        <v>44</v>
      </c>
      <c r="F33" s="28" t="n">
        <f aca="false">E33/B12</f>
        <v>7.04</v>
      </c>
      <c r="G33" s="29" t="n">
        <f aca="false">F33-1</f>
        <v>6.04</v>
      </c>
      <c r="H33" s="29" t="n">
        <f aca="false">F33^(1/C33)-1</f>
        <v>0.542941569395491</v>
      </c>
    </row>
    <row r="34" customFormat="false" ht="23.85" hidden="false" customHeight="false" outlineLevel="0" collapsed="false">
      <c r="A34" s="20" t="s">
        <v>114</v>
      </c>
      <c r="B34" s="23" t="s">
        <v>185</v>
      </c>
      <c r="C34" s="24" t="n">
        <v>5.5</v>
      </c>
      <c r="D34" s="5" t="s">
        <v>278</v>
      </c>
      <c r="E34" s="25" t="n">
        <v>90</v>
      </c>
      <c r="F34" s="28" t="n">
        <f aca="false">E34/B12</f>
        <v>14.4</v>
      </c>
      <c r="G34" s="29" t="n">
        <f aca="false">F34-1</f>
        <v>13.4</v>
      </c>
      <c r="H34" s="29" t="n">
        <f aca="false">F34^(1/C34)-1</f>
        <v>0.624094748995135</v>
      </c>
    </row>
    <row r="35" customFormat="false" ht="15" hidden="false" customHeight="false" outlineLevel="0" collapsed="false">
      <c r="A35" s="13" t="s">
        <v>122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123</v>
      </c>
      <c r="B36" s="17" t="n">
        <f aca="false">AVERAGE(F26,E33)</f>
        <v>43.75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6</v>
      </c>
    </row>
    <row r="39" customFormat="false" ht="15" hidden="false" customHeight="false" outlineLevel="0" collapsed="false">
      <c r="A39" s="14" t="s">
        <v>124</v>
      </c>
      <c r="B39" s="31" t="n">
        <f aca="false">B37^(1/C26)-1</f>
        <v>0.540989091653837</v>
      </c>
    </row>
    <row r="40" customFormat="false" ht="15" hidden="false" customHeight="false" outlineLevel="0" collapsed="false">
      <c r="A40" s="14" t="s">
        <v>125</v>
      </c>
      <c r="B40" s="30" t="n">
        <f aca="false">MIN(G25,F32)</f>
        <v>1.2</v>
      </c>
      <c r="C40" s="30" t="n">
        <f aca="false">MAX(G27,F34)</f>
        <v>16.8</v>
      </c>
    </row>
    <row r="41" customFormat="false" ht="15" hidden="false" customHeight="false" outlineLevel="0" collapsed="false">
      <c r="A41" s="14" t="s">
        <v>126</v>
      </c>
      <c r="B41" s="30" t="n">
        <f aca="false">B36/B11</f>
        <v>6.73076923076923</v>
      </c>
    </row>
    <row r="43" customFormat="false" ht="15" hidden="false" customHeight="false" outlineLevel="0" collapsed="false">
      <c r="A43" s="13" t="s">
        <v>127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279</v>
      </c>
    </row>
    <row r="45" customFormat="false" ht="15" hidden="false" customHeight="false" outlineLevel="0" collapsed="false">
      <c r="A45" s="2" t="s">
        <v>280</v>
      </c>
    </row>
    <row r="46" customFormat="false" ht="15" hidden="false" customHeight="false" outlineLevel="0" collapsed="false">
      <c r="A46" s="2" t="s">
        <v>281</v>
      </c>
    </row>
    <row r="47" customFormat="false" ht="15" hidden="false" customHeight="false" outlineLevel="0" collapsed="false">
      <c r="A47" s="2" t="s">
        <v>282</v>
      </c>
    </row>
    <row r="48" customFormat="false" ht="15" hidden="false" customHeight="false" outlineLevel="0" collapsed="false">
      <c r="A48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2026-08-24T13:14:47Z</dcterms:created>
  <dc:creator>openpyxl</dc:creator>
  <dc:description/>
  <dc:language>en-US</dc:language>
  <cp:lastModifiedBy/>
  <dcterms:modified xsi:type="dcterms:W3CDTF">2026-08-24T13:14:47Z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
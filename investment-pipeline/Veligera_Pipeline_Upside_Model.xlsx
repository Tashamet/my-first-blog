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<sst xmlns="http://schemas.openxmlformats.org/spreadsheetml/2006/main" count="559" uniqueCount="196">
  <si>
    <t xml:space="preserve">Veligera Capital — pipeline сделок: расчёт upside</t>
  </si>
  <si>
    <t xml:space="preserve">Данные на 24.08.2026. Все суммы в $ млрд. Цена на вторичном рынке — индикативный диапазон;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</si>
  <si>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</si>
  <si>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</si>
  <si>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</si>
  <si>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</si>
  <si>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Вторичный рынок: низ</t>
  </si>
  <si>
    <t xml:space="preserve">Вторичный рынок: верх</t>
  </si>
  <si>
    <t xml:space="preserve">Расчётная цена входа (середина)</t>
  </si>
  <si>
    <t xml:space="preserve">Горизонт / выход</t>
  </si>
  <si>
    <t xml:space="preserve">Целевая оценка на выходе</t>
  </si>
  <si>
    <t xml:space="preserve">MOIC (целевой)</t>
  </si>
  <si>
    <t xml:space="preserve">Upside (целевой)</t>
  </si>
  <si>
    <t xml:space="preserve">IRR (целевой)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</si>
  <si>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</si>
  <si>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</si>
  <si>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</si>
  <si>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</si>
  <si>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</si>
  <si>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</si>
  <si>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</si>
  <si>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</si>
  <si>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</si>
  <si>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2–3 года (IPO 2027–2029)</t>
  </si>
  <si>
    <t xml:space="preserve">1X Technologies</t>
  </si>
  <si>
    <t xml:space="preserve">Домашние роботы-помощники</t>
  </si>
  <si>
    <t xml:space="preserve">Series B $100 млн, закрыт в январе 2024; лид EQT Ventures (оценка $0.82 млрд)</t>
  </si>
  <si>
    <t xml:space="preserve">4–5 лет (IPO ~2030)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</si>
  <si>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</si>
  <si>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</si>
  <si>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</si>
  <si>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2–4 года (IPO 2028–2030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</si>
  <si>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</si>
  <si>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</si>
  <si>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</si>
  <si>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1–3 года (IPO ~2027)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</si>
  <si>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</si>
  <si>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</si>
  <si>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</si>
  <si>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2028–2030)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</si>
  <si>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</si>
  <si>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</si>
  <si>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</si>
  <si>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</si>
  <si>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Цена входа в расчётах — середина диапазона вторичного рынка. По 1X и Positron AI закрытые раунды устарели: цена определяется идущими раундами (1X — Series C ~$10 млрд, Positron — $3.5–5 млрд).</t>
  </si>
  <si>
    <t xml:space="preserve">Целевой сценарий — среднее двух методов (мультипликаторы публичных аналогов и рыночные якоря). MOIC мин./макс. — границы по всем сценариям обоих методов. Разводнение,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</si>
  <si>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</si>
  <si>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</si>
  <si>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</si>
  <si>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 цены, по которой бумага доступна к покупке сейчас: котировки площадок (Forge, Caplight, Nasdaq Private Market), оценки идущих раундов и премия/дисконт к последнему раунду. Реальная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</si>
  <si>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</si>
  <si>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Консервативный подход: расчёт от верхней границы даёт upside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</si>
  <si>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</si>
  <si>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</si>
  <si>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</si>
  <si>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</si>
  <si>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</si>
  <si>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целевой / оптимистичный. В one-pager вынесен целевой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</si>
  <si>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</si>
  <si>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</si>
  <si>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</si>
  <si>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(цена вторички,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</si>
  <si>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</si>
  <si>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</si>
  <si>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</si>
  <si>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</si>
  <si>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</si>
  <si>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Цена на вторичном рынке — нижняя граница, $ млрд</t>
  </si>
  <si>
    <t xml:space="preserve">Цена на вторичном рынке — верхняя граница, $ млрд</t>
  </si>
  <si>
    <t xml:space="preserve">Расчётная цена входа (середина диапазона), $ млрд</t>
  </si>
  <si>
    <t xml:space="preserve">Примечание</t>
  </si>
  <si>
    <t xml:space="preserve">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</si>
  <si>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</si>
  <si>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</si>
  <si>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</si>
  <si>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</si>
  <si>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</si>
  <si>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</si>
  <si>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</si>
  <si>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</si>
  <si>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</si>
  <si>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</si>
  <si>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</si>
  <si>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</si>
  <si>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</si>
  <si>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</si>
  <si>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</si>
  <si>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</si>
  <si>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</si>
  <si>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</si>
  <si>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</si>
  <si>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</si>
  <si>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</si>
  <si>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</si>
  <si>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</si>
  <si>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Целевой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</si>
  <si>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</si>
  <si>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</si>
  <si>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</si>
  <si>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</si>
  <si>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</si>
  <si>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</si>
  <si>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при $1.2–1.4 трлн + пост-IPO ре-рейтинг</t>
  </si>
  <si>
    <t xml:space="preserve">Траектория крупнейшей публичной компании мира</t>
  </si>
  <si>
    <t xml:space="preserve">5. ИТОГ — ЦЕЛЕВОЙ СЦЕНАРИЙ</t>
  </si>
  <si>
    <t xml:space="preserve">Целевая оценка на выходе (среднее 2 методов), $ млрд</t>
  </si>
  <si>
    <t xml:space="preserve">Диапазон MOIC (мин. — макс. по всем сценариям)</t>
  </si>
  <si>
    <t xml:space="preserve">Справочно: MOIC (целевой)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</si>
  <si>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</si>
  <si>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</si>
  <si>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</si>
  <si>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</si>
  <si>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</si>
  <si>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Forge: $174.00/акция (13–15.08.2026), Nasdaq Private Market $162.71 (16.06.2026) — торгуется вблизи отметки Series C.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</si>
  <si>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</si>
  <si>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</si>
  <si>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</si>
  <si>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</si>
  <si>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</si>
  <si>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</si>
  <si>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</si>
  <si>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</si>
  <si>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</si>
  <si>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</si>
  <si>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</si>
  <si>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</si>
  <si>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</si>
  <si>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</si>
  <si>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</si>
  <si>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</si>
  <si>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</si>
  <si>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</si>
  <si>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Раунд Series C в процессе по оценке $10+ млрд (The Information); Nasdaq Private Market ~$662/акция (31.07.2026). Раунд января 2024 устарел — цена определяется вторичным рынком и Series C.</t>
  </si>
  <si>
    <t xml:space="preserve">iRobot</t>
  </si>
  <si>
    <t xml:space="preserve">предостерегающий комп: консьюмер-железо без ИИ-рва</t>
  </si>
  <si>
    <t xml:space="preserve">2030</t>
  </si>
  <si>
    <t xml:space="preserve">2031</t>
  </si>
  <si>
    <t xml:space="preserve">Цель — 100 тыс. роботов/год к концу 2027. Парк 250–400 тыс. штук к 2030 при $20 тыс. за робота или $6 тыс./год подписки даёт выручку $4–6 млрд (целевой сценарий — $5 млрд).</t>
  </si>
  <si>
    <t xml:space="preserve">Оценка на уровне идущего Series C ($10 млрд)</t>
  </si>
  <si>
    <t xml:space="preserve">Паритет с текущей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</si>
  <si>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</si>
  <si>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</si>
  <si>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</si>
  <si>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</si>
  <si>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Bloomberg/CNBC (04.08.2026): раунд ~$1 млрд по оценке &gt;$20 млрд в переговорах — вторичные сделки идут с премией к апрельской отметке.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</si>
  <si>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</si>
  <si>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</si>
  <si>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</si>
  <si>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</si>
  <si>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</si>
  <si>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</si>
  <si>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</si>
  <si>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</si>
  <si>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</si>
  <si>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</si>
  <si>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</si>
  <si>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</si>
  <si>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</si>
  <si>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</si>
  <si>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</si>
  <si>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</si>
  <si>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</si>
  <si>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CoinDesk (13.08.2026): Sequoia и Wellington обсуждают раунд $750 млн+ по оценке $40 млрд — вторичный рынок идёт между Series F и этой отметкой.</t>
  </si>
  <si>
    <t xml:space="preserve">биржа</t>
  </si>
  <si>
    <t xml:space="preserve">Выручка: $263.5 млн за 2025 → run-rate ~$4 млрд к июлю 2026. ~90% рынка США и обороты $21 млрд/мес; целевой сценарий — $8 млрд выручки к 2029 при сохранении доли.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</si>
  <si>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</si>
  <si>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</si>
  <si>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</si>
  <si>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</si>
  <si>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</si>
  <si>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</si>
  <si>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Bloomberg (08.07.2026): раунд ~$750 млн двумя траншами по оценкам ~$3.5 и ~$5 млрд. Бумага торгуется на Forge/Caplight — цена уже кратно выше Series B.</t>
  </si>
  <si>
    <t xml:space="preserve">Broadcom</t>
  </si>
  <si>
    <t xml:space="preserve">AMD</t>
  </si>
  <si>
    <t xml:space="preserve">Marvell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</si>
  <si>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</si>
  <si>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</si>
  <si>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$1.5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</si>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</sst>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4" min="12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23.85" hidden="false" customHeight="false" outlineLevel="0" collapsed="false">
      <c r="A5" s="4" t="s">
        <v>16</v>
      </c>
      <c r="B5" s="5" t="s">
        <v>17</v>
      </c>
      <c r="C5" s="5" t="s">
        <v>18</v>
      </c>
      <c r="D5" s="6" t="n">
        <f aca="false">OpenAI!B6</f>
        <v>852</v>
      </c>
      <c r="E5" s="6" t="n">
        <f aca="false">OpenAI!B7</f>
        <v>850</v>
      </c>
      <c r="F5" s="6" t="n">
        <f aca="false">OpenAI!B8</f>
        <v>950</v>
      </c>
      <c r="G5" s="6" t="n">
        <f aca="false">OpenAI!B9</f>
        <v>900</v>
      </c>
      <c r="H5" s="7" t="s">
        <v>19</v>
      </c>
      <c r="I5" s="6" t="n">
        <f aca="false">OpenAI!B34</f>
        <v>1850</v>
      </c>
      <c r="J5" s="8" t="n">
        <f aca="false">OpenAI!B35</f>
        <v>2.05555555555556</v>
      </c>
      <c r="K5" s="9" t="n">
        <f aca="false">OpenAI!B36</f>
        <v>1.05555555555556</v>
      </c>
      <c r="L5" s="9" t="n">
        <f aca="false">OpenAI!B37</f>
        <v>0.433720877840438</v>
      </c>
      <c r="M5" s="8" t="n">
        <f aca="false">OpenAI!B38</f>
        <v>1.11111111111111</v>
      </c>
      <c r="N5" s="8" t="n">
        <f aca="false">OpenAI!C38</f>
        <v>3.42222222222222</v>
      </c>
    </row>
    <row r="6" customFormat="false" ht="23.85" hidden="false" customHeight="false" outlineLevel="0" collapsed="false">
      <c r="A6" s="4" t="s">
        <v>20</v>
      </c>
      <c r="B6" s="5" t="s">
        <v>21</v>
      </c>
      <c r="C6" s="5" t="s">
        <v>22</v>
      </c>
      <c r="D6" s="6" t="n">
        <f aca="false">'Figure AI'!B6</f>
        <v>39</v>
      </c>
      <c r="E6" s="6" t="n">
        <f aca="false">'Figure AI'!B7</f>
        <v>36</v>
      </c>
      <c r="F6" s="6" t="n">
        <f aca="false">'Figure AI'!B8</f>
        <v>44</v>
      </c>
      <c r="G6" s="6" t="n">
        <f aca="false">'Figure AI'!B9</f>
        <v>40</v>
      </c>
      <c r="H6" s="7" t="s">
        <v>23</v>
      </c>
      <c r="I6" s="6" t="n">
        <f aca="false">'Figure AI'!B34</f>
        <v>120</v>
      </c>
      <c r="J6" s="8" t="n">
        <f aca="false">'Figure AI'!B35</f>
        <v>3</v>
      </c>
      <c r="K6" s="9" t="n">
        <f aca="false">'Figure AI'!B36</f>
        <v>2</v>
      </c>
      <c r="L6" s="9" t="n">
        <f aca="false">'Figure AI'!B37</f>
        <v>0.442249570307408</v>
      </c>
      <c r="M6" s="8" t="n">
        <f aca="false">'Figure AI'!B38</f>
        <v>0.975</v>
      </c>
      <c r="N6" s="8" t="n">
        <f aca="false">'Figure AI'!C38</f>
        <v>5.4</v>
      </c>
    </row>
    <row r="7" customFormat="false" ht="23.85" hidden="false" customHeight="false" outlineLevel="0" collapsed="false">
      <c r="A7" s="4" t="s">
        <v>24</v>
      </c>
      <c r="B7" s="5" t="s">
        <v>25</v>
      </c>
      <c r="C7" s="5" t="s">
        <v>26</v>
      </c>
      <c r="D7" s="6" t="n">
        <f aca="false">1X!B6</f>
        <v>0.82</v>
      </c>
      <c r="E7" s="6" t="n">
        <f aca="false">1X!B7</f>
        <v>10</v>
      </c>
      <c r="F7" s="6" t="n">
        <f aca="false">1X!B8</f>
        <v>13</v>
      </c>
      <c r="G7" s="6" t="n">
        <f aca="false">1X!B9</f>
        <v>11.5</v>
      </c>
      <c r="H7" s="7" t="s">
        <v>27</v>
      </c>
      <c r="I7" s="6" t="n">
        <f aca="false">1X!B34</f>
        <v>60</v>
      </c>
      <c r="J7" s="8" t="n">
        <f aca="false">1X!B35</f>
        <v>5.21739130434783</v>
      </c>
      <c r="K7" s="9" t="n">
        <f aca="false">1X!B36</f>
        <v>4.21739130434783</v>
      </c>
      <c r="L7" s="9" t="n">
        <f aca="false">1X!B37</f>
        <v>0.511344091489639</v>
      </c>
      <c r="M7" s="8" t="n">
        <f aca="false">1X!B38</f>
        <v>0.869565217391304</v>
      </c>
      <c r="N7" s="8" t="n">
        <f aca="false">1X!C38</f>
        <v>11.7391304347826</v>
      </c>
    </row>
    <row r="8" customFormat="false" ht="23.85" hidden="false" customHeight="false" outlineLevel="0" collapsed="false">
      <c r="A8" s="4" t="s">
        <v>28</v>
      </c>
      <c r="B8" s="5" t="s">
        <v>29</v>
      </c>
      <c r="C8" s="5" t="s">
        <v>30</v>
      </c>
      <c r="D8" s="6" t="n">
        <f aca="false">Polymarket!B6</f>
        <v>15</v>
      </c>
      <c r="E8" s="6" t="n">
        <f aca="false">Polymarket!B7</f>
        <v>18</v>
      </c>
      <c r="F8" s="6" t="n">
        <f aca="false">Polymarket!B8</f>
        <v>24</v>
      </c>
      <c r="G8" s="6" t="n">
        <f aca="false">Polymarket!B9</f>
        <v>21</v>
      </c>
      <c r="H8" s="7" t="s">
        <v>31</v>
      </c>
      <c r="I8" s="6" t="n">
        <f aca="false">Polymarket!B34</f>
        <v>90</v>
      </c>
      <c r="J8" s="8" t="n">
        <f aca="false">Polymarket!B35</f>
        <v>4.28571428571429</v>
      </c>
      <c r="K8" s="9" t="n">
        <f aca="false">Polymarket!B36</f>
        <v>3.28571428571429</v>
      </c>
      <c r="L8" s="9" t="n">
        <f aca="false">Polymarket!B37</f>
        <v>0.62433052162942</v>
      </c>
      <c r="M8" s="8" t="n">
        <f aca="false">Polymarket!B38</f>
        <v>1.04761904761905</v>
      </c>
      <c r="N8" s="8" t="n">
        <f aca="false">Polymarket!C38</f>
        <v>8.57142857142857</v>
      </c>
    </row>
    <row r="9" customFormat="false" ht="23.85" hidden="false" customHeight="false" outlineLevel="0" collapsed="false">
      <c r="A9" s="4" t="s">
        <v>32</v>
      </c>
      <c r="B9" s="5" t="s">
        <v>33</v>
      </c>
      <c r="C9" s="5" t="s">
        <v>34</v>
      </c>
      <c r="D9" s="6" t="n">
        <f aca="false">Kalshi!B6</f>
        <v>22</v>
      </c>
      <c r="E9" s="6" t="n">
        <f aca="false">Kalshi!B7</f>
        <v>28</v>
      </c>
      <c r="F9" s="6" t="n">
        <f aca="false">Kalshi!B8</f>
        <v>40</v>
      </c>
      <c r="G9" s="6" t="n">
        <f aca="false">Kalshi!B9</f>
        <v>34</v>
      </c>
      <c r="H9" s="7" t="s">
        <v>35</v>
      </c>
      <c r="I9" s="6" t="n">
        <f aca="false">Kalshi!B34</f>
        <v>120</v>
      </c>
      <c r="J9" s="8" t="n">
        <f aca="false">Kalshi!B35</f>
        <v>3.52941176470588</v>
      </c>
      <c r="K9" s="9" t="n">
        <f aca="false">Kalshi!B36</f>
        <v>2.52941176470588</v>
      </c>
      <c r="L9" s="9" t="n">
        <f aca="false">Kalshi!B37</f>
        <v>0.656078548101046</v>
      </c>
      <c r="M9" s="8" t="n">
        <f aca="false">Kalshi!B38</f>
        <v>1.17647058823529</v>
      </c>
      <c r="N9" s="8" t="n">
        <f aca="false">Kalshi!C38</f>
        <v>6.58823529411765</v>
      </c>
    </row>
    <row r="10" customFormat="false" ht="23.85" hidden="false" customHeight="false" outlineLevel="0" collapsed="false">
      <c r="A10" s="4" t="s">
        <v>36</v>
      </c>
      <c r="B10" s="5" t="s">
        <v>37</v>
      </c>
      <c r="C10" s="5" t="s">
        <v>38</v>
      </c>
      <c r="D10" s="6" t="n">
        <f aca="false">'Positron AI'!B6</f>
        <v>1</v>
      </c>
      <c r="E10" s="6" t="n">
        <f aca="false">'Positron AI'!B7</f>
        <v>3</v>
      </c>
      <c r="F10" s="6" t="n">
        <f aca="false">'Positron AI'!B8</f>
        <v>5</v>
      </c>
      <c r="G10" s="6" t="n">
        <f aca="false">'Positron AI'!B9</f>
        <v>4</v>
      </c>
      <c r="H10" s="7" t="s">
        <v>39</v>
      </c>
      <c r="I10" s="6" t="n">
        <f aca="false">'Positron AI'!B34</f>
        <v>31.3</v>
      </c>
      <c r="J10" s="8" t="n">
        <f aca="false">'Positron AI'!B35</f>
        <v>7.825</v>
      </c>
      <c r="K10" s="9" t="n">
        <f aca="false">'Positron AI'!B36</f>
        <v>6.825</v>
      </c>
      <c r="L10" s="9" t="n">
        <f aca="false">'Positron AI'!B37</f>
        <v>0.985309018420128</v>
      </c>
      <c r="M10" s="8" t="n">
        <f aca="false">'Positron AI'!B38</f>
        <v>1.25</v>
      </c>
      <c r="N10" s="8" t="n">
        <f aca="false">'Positron AI'!C38</f>
        <v>17.5</v>
      </c>
    </row>
    <row r="11" customFormat="false" ht="23.85" hidden="false" customHeight="false" outlineLevel="0" collapsed="false">
      <c r="A11" s="4" t="s">
        <v>40</v>
      </c>
      <c r="B11" s="5" t="s">
        <v>41</v>
      </c>
      <c r="C11" s="5" t="s">
        <v>42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Databricks!B8</f>
        <v>220</v>
      </c>
      <c r="G11" s="6" t="n">
        <f aca="false">Databricks!B9</f>
        <v>205</v>
      </c>
      <c r="H11" s="7" t="s">
        <v>43</v>
      </c>
      <c r="I11" s="6" t="n">
        <f aca="false">Databricks!B34</f>
        <v>400</v>
      </c>
      <c r="J11" s="8" t="n">
        <f aca="false">Databricks!B35</f>
        <v>1.95121951219512</v>
      </c>
      <c r="K11" s="9" t="n">
        <f aca="false">Databricks!B36</f>
        <v>0.951219512195122</v>
      </c>
      <c r="L11" s="9" t="n">
        <f aca="false">Databricks!B37</f>
        <v>0.396860591539156</v>
      </c>
      <c r="M11" s="8" t="n">
        <f aca="false">Databricks!B38</f>
        <v>0.926829268292683</v>
      </c>
      <c r="N11" s="8" t="n">
        <f aca="false">Databricks!C38</f>
        <v>3.04878048780488</v>
      </c>
    </row>
    <row r="13" customFormat="false" ht="15" hidden="false" customHeight="false" outlineLevel="0" collapsed="false">
      <c r="A13" s="2" t="s">
        <v>44</v>
      </c>
    </row>
    <row r="14" customFormat="false" ht="15" hidden="false" customHeight="false" outlineLevel="0" collapsed="false">
      <c r="A14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46</v>
      </c>
    </row>
    <row r="3" customFormat="false" ht="45.75" hidden="false" customHeight="true" outlineLevel="0" collapsed="false">
      <c r="A3" s="10" t="s">
        <v>5</v>
      </c>
      <c r="B3" s="11" t="s">
        <v>47</v>
      </c>
    </row>
    <row r="4" customFormat="false" ht="45.75" hidden="false" customHeight="true" outlineLevel="0" collapsed="false">
      <c r="A4" s="10" t="s">
        <v>48</v>
      </c>
      <c r="B4" s="11" t="s">
        <v>49</v>
      </c>
    </row>
    <row r="5" customFormat="false" ht="45.75" hidden="false" customHeight="true" outlineLevel="0" collapsed="false">
      <c r="A5" s="10" t="s">
        <v>50</v>
      </c>
      <c r="B5" s="11" t="s">
        <v>51</v>
      </c>
    </row>
    <row r="6" customFormat="false" ht="45.75" hidden="false" customHeight="true" outlineLevel="0" collapsed="false">
      <c r="A6" s="10" t="s">
        <v>52</v>
      </c>
      <c r="B6" s="11" t="s">
        <v>53</v>
      </c>
    </row>
    <row r="7" customFormat="false" ht="45.75" hidden="false" customHeight="true" outlineLevel="0" collapsed="false">
      <c r="A7" s="10" t="s">
        <v>54</v>
      </c>
      <c r="B7" s="11" t="s">
        <v>55</v>
      </c>
    </row>
    <row r="8" customFormat="false" ht="45.75" hidden="false" customHeight="true" outlineLevel="0" collapsed="false">
      <c r="A8" s="10" t="s">
        <v>56</v>
      </c>
      <c r="B8" s="11" t="s">
        <v>57</v>
      </c>
    </row>
    <row r="9" customFormat="false" ht="45.75" hidden="false" customHeight="true" outlineLevel="0" collapsed="false">
      <c r="A9" s="10" t="s">
        <v>58</v>
      </c>
      <c r="B9" s="11" t="s">
        <v>59</v>
      </c>
    </row>
    <row r="10" customFormat="false" ht="45.75" hidden="false" customHeight="true" outlineLevel="0" collapsed="false">
      <c r="A10" s="10" t="s">
        <v>60</v>
      </c>
      <c r="B10" s="11" t="s">
        <v>61</v>
      </c>
    </row>
    <row r="11" customFormat="false" ht="45.75" hidden="false" customHeight="true" outlineLevel="0" collapsed="false">
      <c r="A11" s="10" t="s">
        <v>62</v>
      </c>
      <c r="B11" s="11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12" t="s">
        <v>17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18</v>
      </c>
    </row>
    <row r="6" customFormat="false" ht="15" hidden="false" customHeight="false" outlineLevel="0" collapsed="false">
      <c r="A6" s="14" t="s">
        <v>66</v>
      </c>
      <c r="B6" s="15" t="n">
        <v>852</v>
      </c>
    </row>
    <row r="7" customFormat="false" ht="15" hidden="false" customHeight="false" outlineLevel="0" collapsed="false">
      <c r="A7" s="14" t="s">
        <v>67</v>
      </c>
      <c r="B7" s="15" t="n">
        <v>850</v>
      </c>
    </row>
    <row r="8" customFormat="false" ht="15" hidden="false" customHeight="false" outlineLevel="0" collapsed="false">
      <c r="A8" s="14" t="s">
        <v>68</v>
      </c>
      <c r="B8" s="15" t="n">
        <v>950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900</v>
      </c>
    </row>
    <row r="10" customFormat="false" ht="42" hidden="false" customHeight="true" outlineLevel="0" collapsed="false">
      <c r="A10" s="14" t="s">
        <v>70</v>
      </c>
      <c r="B10" s="17" t="s">
        <v>71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75</v>
      </c>
      <c r="B14" s="20" t="n">
        <v>10.5</v>
      </c>
      <c r="C14" s="21" t="s">
        <v>76</v>
      </c>
    </row>
    <row r="15" customFormat="false" ht="15" hidden="false" customHeight="false" outlineLevel="0" collapsed="false">
      <c r="A15" s="19" t="s">
        <v>77</v>
      </c>
      <c r="B15" s="20" t="n">
        <v>24.7</v>
      </c>
      <c r="C15" s="21" t="s">
        <v>78</v>
      </c>
    </row>
    <row r="16" customFormat="false" ht="15" hidden="false" customHeight="false" outlineLevel="0" collapsed="false">
      <c r="A16" s="19" t="s">
        <v>79</v>
      </c>
      <c r="B16" s="20" t="n">
        <v>9.4</v>
      </c>
      <c r="C16" s="21" t="s">
        <v>78</v>
      </c>
    </row>
    <row r="17" customFormat="false" ht="15" hidden="false" customHeight="false" outlineLevel="0" collapsed="false">
      <c r="A17" s="19" t="s">
        <v>80</v>
      </c>
      <c r="B17" s="20" t="n">
        <v>7</v>
      </c>
      <c r="C17" s="21" t="s">
        <v>78</v>
      </c>
    </row>
    <row r="18" customFormat="false" ht="15" hidden="false" customHeight="false" outlineLevel="0" collapsed="false">
      <c r="A18" s="19" t="s">
        <v>81</v>
      </c>
      <c r="B18" s="20" t="n">
        <v>61</v>
      </c>
      <c r="C18" s="21" t="s">
        <v>82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94</v>
      </c>
      <c r="C22" s="23" t="n">
        <v>1.5</v>
      </c>
      <c r="D22" s="24" t="n">
        <v>62</v>
      </c>
      <c r="E22" s="25" t="n">
        <v>18</v>
      </c>
      <c r="F22" s="26" t="n">
        <f aca="false">D22*E22</f>
        <v>1116</v>
      </c>
      <c r="G22" s="27" t="n">
        <f aca="false">F22/B9</f>
        <v>1.24</v>
      </c>
      <c r="H22" s="28" t="n">
        <f aca="false">G22-1</f>
        <v>0.24</v>
      </c>
      <c r="I22" s="28" t="n">
        <f aca="false">G22^(1/C22)-1</f>
        <v>0.154200142101152</v>
      </c>
    </row>
    <row r="23" customFormat="false" ht="15" hidden="false" customHeight="false" outlineLevel="0" collapsed="false">
      <c r="A23" s="19" t="s">
        <v>95</v>
      </c>
      <c r="B23" s="22" t="s">
        <v>96</v>
      </c>
      <c r="C23" s="23" t="n">
        <v>2</v>
      </c>
      <c r="D23" s="24" t="n">
        <v>110</v>
      </c>
      <c r="E23" s="25" t="n">
        <v>20</v>
      </c>
      <c r="F23" s="26" t="n">
        <f aca="false">D23*E23</f>
        <v>2200</v>
      </c>
      <c r="G23" s="27" t="n">
        <f aca="false">F23/B9</f>
        <v>2.44444444444444</v>
      </c>
      <c r="H23" s="28" t="n">
        <f aca="false">G23-1</f>
        <v>1.44444444444444</v>
      </c>
      <c r="I23" s="28" t="n">
        <f aca="false">G23^(1/C23)-1</f>
        <v>0.563471919941143</v>
      </c>
    </row>
    <row r="24" customFormat="false" ht="15" hidden="false" customHeight="false" outlineLevel="0" collapsed="false">
      <c r="A24" s="19" t="s">
        <v>97</v>
      </c>
      <c r="B24" s="22" t="s">
        <v>96</v>
      </c>
      <c r="C24" s="23" t="n">
        <v>2</v>
      </c>
      <c r="D24" s="24" t="n">
        <v>110</v>
      </c>
      <c r="E24" s="25" t="n">
        <v>28</v>
      </c>
      <c r="F24" s="26" t="n">
        <f aca="false">D24*E24</f>
        <v>3080</v>
      </c>
      <c r="G24" s="27" t="n">
        <f aca="false">F24/B9</f>
        <v>3.42222222222222</v>
      </c>
      <c r="H24" s="28" t="n">
        <f aca="false">G24-1</f>
        <v>2.42222222222222</v>
      </c>
      <c r="I24" s="28" t="n">
        <f aca="false">G24^(1/C24)-1</f>
        <v>0.849924923401548</v>
      </c>
    </row>
    <row r="25" customFormat="false" ht="30" hidden="false" customHeight="true" outlineLevel="0" collapsed="false">
      <c r="A25" s="17" t="s">
        <v>98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23.85" hidden="false" customHeight="false" outlineLevel="0" collapsed="false">
      <c r="A29" s="19" t="s">
        <v>93</v>
      </c>
      <c r="B29" s="22" t="s">
        <v>94</v>
      </c>
      <c r="C29" s="23" t="n">
        <v>1.5</v>
      </c>
      <c r="D29" s="5" t="s">
        <v>101</v>
      </c>
      <c r="E29" s="24" t="n">
        <v>1000</v>
      </c>
      <c r="F29" s="27" t="n">
        <f aca="false">E29/B9</f>
        <v>1.11111111111111</v>
      </c>
      <c r="G29" s="28" t="n">
        <f aca="false">F29-1</f>
        <v>0.111111111111111</v>
      </c>
      <c r="H29" s="28" t="n">
        <f aca="false">F29^(1/C29)-1</f>
        <v>0.0727659828951441</v>
      </c>
    </row>
    <row r="30" customFormat="false" ht="23.85" hidden="false" customHeight="false" outlineLevel="0" collapsed="false">
      <c r="A30" s="19" t="s">
        <v>95</v>
      </c>
      <c r="B30" s="22" t="s">
        <v>96</v>
      </c>
      <c r="C30" s="23" t="n">
        <v>2</v>
      </c>
      <c r="D30" s="5" t="s">
        <v>102</v>
      </c>
      <c r="E30" s="24" t="n">
        <v>1500</v>
      </c>
      <c r="F30" s="27" t="n">
        <f aca="false">E30/B9</f>
        <v>1.66666666666667</v>
      </c>
      <c r="G30" s="28" t="n">
        <f aca="false">F30-1</f>
        <v>0.666666666666667</v>
      </c>
      <c r="H30" s="28" t="n">
        <f aca="false">F30^(1/C30)-1</f>
        <v>0.290994448735806</v>
      </c>
    </row>
    <row r="31" customFormat="false" ht="15" hidden="false" customHeight="false" outlineLevel="0" collapsed="false">
      <c r="A31" s="19" t="s">
        <v>97</v>
      </c>
      <c r="B31" s="22" t="s">
        <v>96</v>
      </c>
      <c r="C31" s="23" t="n">
        <v>2</v>
      </c>
      <c r="D31" s="5" t="s">
        <v>103</v>
      </c>
      <c r="E31" s="24" t="n">
        <v>2200</v>
      </c>
      <c r="F31" s="27" t="n">
        <f aca="false">E31/B9</f>
        <v>2.44444444444444</v>
      </c>
      <c r="G31" s="28" t="n">
        <f aca="false">F31-1</f>
        <v>1.44444444444444</v>
      </c>
      <c r="H31" s="28" t="n">
        <f aca="false">F31^(1/C31)-1</f>
        <v>0.563471919941143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1850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2.05555555555556</v>
      </c>
    </row>
    <row r="36" customFormat="false" ht="15" hidden="false" customHeight="false" outlineLevel="0" collapsed="false">
      <c r="A36" s="14" t="s">
        <v>12</v>
      </c>
      <c r="B36" s="30" t="n">
        <f aca="false">B35-1</f>
        <v>1.05555555555556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0.433720877840438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1.11111111111111</v>
      </c>
      <c r="C38" s="29" t="n">
        <f aca="false">MAX(G24,F31)</f>
        <v>3.42222222222222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1.94736842105263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109</v>
      </c>
    </row>
    <row r="43" customFormat="false" ht="15" hidden="false" customHeight="false" outlineLevel="0" collapsed="false">
      <c r="A43" s="2" t="s">
        <v>110</v>
      </c>
    </row>
    <row r="44" customFormat="false" ht="15" hidden="false" customHeight="false" outlineLevel="0" collapsed="false">
      <c r="A44" s="2" t="s">
        <v>111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12" t="s">
        <v>21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22</v>
      </c>
    </row>
    <row r="6" customFormat="false" ht="15" hidden="false" customHeight="false" outlineLevel="0" collapsed="false">
      <c r="A6" s="14" t="s">
        <v>66</v>
      </c>
      <c r="B6" s="15" t="n">
        <v>39</v>
      </c>
    </row>
    <row r="7" customFormat="false" ht="15" hidden="false" customHeight="false" outlineLevel="0" collapsed="false">
      <c r="A7" s="14" t="s">
        <v>67</v>
      </c>
      <c r="B7" s="15" t="n">
        <v>36</v>
      </c>
    </row>
    <row r="8" customFormat="false" ht="15" hidden="false" customHeight="false" outlineLevel="0" collapsed="false">
      <c r="A8" s="14" t="s">
        <v>68</v>
      </c>
      <c r="B8" s="15" t="n">
        <v>44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40</v>
      </c>
    </row>
    <row r="10" customFormat="false" ht="42" hidden="false" customHeight="true" outlineLevel="0" collapsed="false">
      <c r="A10" s="14" t="s">
        <v>70</v>
      </c>
      <c r="B10" s="17" t="s">
        <v>113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114</v>
      </c>
      <c r="B14" s="20" t="n">
        <v>15</v>
      </c>
      <c r="C14" s="21" t="s">
        <v>115</v>
      </c>
    </row>
    <row r="15" customFormat="false" ht="15" hidden="false" customHeight="false" outlineLevel="0" collapsed="false">
      <c r="A15" s="19" t="s">
        <v>116</v>
      </c>
      <c r="B15" s="20" t="n">
        <v>15.7</v>
      </c>
      <c r="C15" s="21" t="s">
        <v>117</v>
      </c>
    </row>
    <row r="16" customFormat="false" ht="15" hidden="false" customHeight="false" outlineLevel="0" collapsed="false">
      <c r="A16" s="19" t="s">
        <v>118</v>
      </c>
      <c r="B16" s="20" t="n">
        <v>7.3</v>
      </c>
      <c r="C16" s="21" t="s">
        <v>119</v>
      </c>
    </row>
    <row r="17" customFormat="false" ht="15" hidden="false" customHeight="false" outlineLevel="0" collapsed="false">
      <c r="A17" s="19" t="s">
        <v>120</v>
      </c>
      <c r="B17" s="20" t="n">
        <v>6.3</v>
      </c>
      <c r="C17" s="21" t="s">
        <v>121</v>
      </c>
    </row>
    <row r="18" customFormat="false" ht="15" hidden="false" customHeight="false" outlineLevel="0" collapsed="false">
      <c r="A18" s="19" t="s">
        <v>122</v>
      </c>
      <c r="B18" s="20" t="n">
        <v>2.6</v>
      </c>
      <c r="C18" s="21" t="s">
        <v>123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96</v>
      </c>
      <c r="C22" s="23" t="n">
        <v>2.5</v>
      </c>
      <c r="D22" s="24" t="n">
        <v>3.5</v>
      </c>
      <c r="E22" s="25" t="n">
        <v>15</v>
      </c>
      <c r="F22" s="26" t="n">
        <f aca="false">D22*E22</f>
        <v>52.5</v>
      </c>
      <c r="G22" s="27" t="n">
        <f aca="false">F22/B9</f>
        <v>1.3125</v>
      </c>
      <c r="H22" s="28" t="n">
        <f aca="false">G22-1</f>
        <v>0.3125</v>
      </c>
      <c r="I22" s="28" t="n">
        <f aca="false">G22^(1/C22)-1</f>
        <v>0.114909779279055</v>
      </c>
    </row>
    <row r="23" customFormat="false" ht="15" hidden="false" customHeight="false" outlineLevel="0" collapsed="false">
      <c r="A23" s="19" t="s">
        <v>95</v>
      </c>
      <c r="B23" s="22" t="s">
        <v>124</v>
      </c>
      <c r="C23" s="23" t="n">
        <v>3</v>
      </c>
      <c r="D23" s="24" t="n">
        <v>8</v>
      </c>
      <c r="E23" s="25" t="n">
        <v>15</v>
      </c>
      <c r="F23" s="26" t="n">
        <f aca="false">D23*E23</f>
        <v>120</v>
      </c>
      <c r="G23" s="27" t="n">
        <f aca="false">F23/B9</f>
        <v>3</v>
      </c>
      <c r="H23" s="28" t="n">
        <f aca="false">G23-1</f>
        <v>2</v>
      </c>
      <c r="I23" s="28" t="n">
        <f aca="false">G23^(1/C23)-1</f>
        <v>0.442249570307408</v>
      </c>
    </row>
    <row r="24" customFormat="false" ht="15" hidden="false" customHeight="false" outlineLevel="0" collapsed="false">
      <c r="A24" s="19" t="s">
        <v>97</v>
      </c>
      <c r="B24" s="22" t="s">
        <v>124</v>
      </c>
      <c r="C24" s="23" t="n">
        <v>3</v>
      </c>
      <c r="D24" s="24" t="n">
        <v>12</v>
      </c>
      <c r="E24" s="25" t="n">
        <v>18</v>
      </c>
      <c r="F24" s="26" t="n">
        <f aca="false">D24*E24</f>
        <v>216</v>
      </c>
      <c r="G24" s="27" t="n">
        <f aca="false">F24/B9</f>
        <v>5.4</v>
      </c>
      <c r="H24" s="28" t="n">
        <f aca="false">G24-1</f>
        <v>4.4</v>
      </c>
      <c r="I24" s="28" t="n">
        <f aca="false">G24^(1/C24)-1</f>
        <v>0.75441064292772</v>
      </c>
    </row>
    <row r="25" customFormat="false" ht="30" hidden="false" customHeight="true" outlineLevel="0" collapsed="false">
      <c r="A25" s="17" t="s">
        <v>125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15" hidden="false" customHeight="false" outlineLevel="0" collapsed="false">
      <c r="A29" s="19" t="s">
        <v>93</v>
      </c>
      <c r="B29" s="22" t="s">
        <v>96</v>
      </c>
      <c r="C29" s="23" t="n">
        <v>2.5</v>
      </c>
      <c r="D29" s="5" t="s">
        <v>126</v>
      </c>
      <c r="E29" s="24" t="n">
        <v>39</v>
      </c>
      <c r="F29" s="27" t="n">
        <f aca="false">E29/B9</f>
        <v>0.975</v>
      </c>
      <c r="G29" s="28" t="n">
        <f aca="false">F29-1</f>
        <v>-0.025</v>
      </c>
      <c r="H29" s="28" t="n">
        <f aca="false">F29^(1/C29)-1</f>
        <v>-0.0100760165482208</v>
      </c>
    </row>
    <row r="30" customFormat="false" ht="23.85" hidden="false" customHeight="false" outlineLevel="0" collapsed="false">
      <c r="A30" s="19" t="s">
        <v>95</v>
      </c>
      <c r="B30" s="22" t="s">
        <v>124</v>
      </c>
      <c r="C30" s="23" t="n">
        <v>3</v>
      </c>
      <c r="D30" s="5" t="s">
        <v>127</v>
      </c>
      <c r="E30" s="24" t="n">
        <v>120</v>
      </c>
      <c r="F30" s="27" t="n">
        <f aca="false">E30/B9</f>
        <v>3</v>
      </c>
      <c r="G30" s="28" t="n">
        <f aca="false">F30-1</f>
        <v>2</v>
      </c>
      <c r="H30" s="28" t="n">
        <f aca="false">F30^(1/C30)-1</f>
        <v>0.442249570307408</v>
      </c>
    </row>
    <row r="31" customFormat="false" ht="15" hidden="false" customHeight="false" outlineLevel="0" collapsed="false">
      <c r="A31" s="19" t="s">
        <v>97</v>
      </c>
      <c r="B31" s="22" t="s">
        <v>124</v>
      </c>
      <c r="C31" s="23" t="n">
        <v>3</v>
      </c>
      <c r="D31" s="5" t="s">
        <v>128</v>
      </c>
      <c r="E31" s="24" t="n">
        <v>180</v>
      </c>
      <c r="F31" s="27" t="n">
        <f aca="false">E31/B9</f>
        <v>4.5</v>
      </c>
      <c r="G31" s="28" t="n">
        <f aca="false">F31-1</f>
        <v>3.5</v>
      </c>
      <c r="H31" s="28" t="n">
        <f aca="false">F31^(1/C31)-1</f>
        <v>0.650963624447313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120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3</v>
      </c>
    </row>
    <row r="36" customFormat="false" ht="15" hidden="false" customHeight="false" outlineLevel="0" collapsed="false">
      <c r="A36" s="14" t="s">
        <v>12</v>
      </c>
      <c r="B36" s="30" t="n">
        <f aca="false">B35-1</f>
        <v>2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0.442249570307408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0.975</v>
      </c>
      <c r="C38" s="29" t="n">
        <f aca="false">MAX(G24,F31)</f>
        <v>5.4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2.72727272727273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129</v>
      </c>
    </row>
    <row r="43" customFormat="false" ht="15" hidden="false" customHeight="false" outlineLevel="0" collapsed="false">
      <c r="A43" s="2" t="s">
        <v>130</v>
      </c>
    </row>
    <row r="44" customFormat="false" ht="15" hidden="false" customHeight="false" outlineLevel="0" collapsed="false">
      <c r="A44" s="2" t="s">
        <v>131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12" t="s">
        <v>25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26</v>
      </c>
    </row>
    <row r="6" customFormat="false" ht="15" hidden="false" customHeight="false" outlineLevel="0" collapsed="false">
      <c r="A6" s="14" t="s">
        <v>66</v>
      </c>
      <c r="B6" s="15" t="n">
        <v>0.82</v>
      </c>
    </row>
    <row r="7" customFormat="false" ht="15" hidden="false" customHeight="false" outlineLevel="0" collapsed="false">
      <c r="A7" s="14" t="s">
        <v>67</v>
      </c>
      <c r="B7" s="15" t="n">
        <v>10</v>
      </c>
    </row>
    <row r="8" customFormat="false" ht="15" hidden="false" customHeight="false" outlineLevel="0" collapsed="false">
      <c r="A8" s="14" t="s">
        <v>68</v>
      </c>
      <c r="B8" s="15" t="n">
        <v>13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11.5</v>
      </c>
    </row>
    <row r="10" customFormat="false" ht="42" hidden="false" customHeight="true" outlineLevel="0" collapsed="false">
      <c r="A10" s="14" t="s">
        <v>70</v>
      </c>
      <c r="B10" s="17" t="s">
        <v>132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114</v>
      </c>
      <c r="B14" s="20" t="n">
        <v>15</v>
      </c>
      <c r="C14" s="21" t="s">
        <v>115</v>
      </c>
    </row>
    <row r="15" customFormat="false" ht="15" hidden="false" customHeight="false" outlineLevel="0" collapsed="false">
      <c r="A15" s="19" t="s">
        <v>116</v>
      </c>
      <c r="B15" s="20" t="n">
        <v>15.7</v>
      </c>
      <c r="C15" s="21" t="s">
        <v>117</v>
      </c>
    </row>
    <row r="16" customFormat="false" ht="15" hidden="false" customHeight="false" outlineLevel="0" collapsed="false">
      <c r="A16" s="19" t="s">
        <v>133</v>
      </c>
      <c r="B16" s="20" t="n">
        <v>1</v>
      </c>
      <c r="C16" s="21" t="s">
        <v>134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135</v>
      </c>
      <c r="C22" s="23" t="n">
        <v>4</v>
      </c>
      <c r="D22" s="24" t="n">
        <v>2</v>
      </c>
      <c r="E22" s="25" t="n">
        <v>12</v>
      </c>
      <c r="F22" s="26" t="n">
        <f aca="false">D22*E22</f>
        <v>24</v>
      </c>
      <c r="G22" s="27" t="n">
        <f aca="false">F22/B9</f>
        <v>2.08695652173913</v>
      </c>
      <c r="H22" s="28" t="n">
        <f aca="false">G22-1</f>
        <v>1.08695652173913</v>
      </c>
      <c r="I22" s="28" t="n">
        <f aca="false">G22^(1/C22)-1</f>
        <v>0.201927717056742</v>
      </c>
    </row>
    <row r="23" customFormat="false" ht="15" hidden="false" customHeight="false" outlineLevel="0" collapsed="false">
      <c r="A23" s="19" t="s">
        <v>95</v>
      </c>
      <c r="B23" s="22" t="s">
        <v>135</v>
      </c>
      <c r="C23" s="23" t="n">
        <v>4</v>
      </c>
      <c r="D23" s="24" t="n">
        <v>5</v>
      </c>
      <c r="E23" s="25" t="n">
        <v>12</v>
      </c>
      <c r="F23" s="26" t="n">
        <f aca="false">D23*E23</f>
        <v>60</v>
      </c>
      <c r="G23" s="27" t="n">
        <f aca="false">F23/B9</f>
        <v>5.21739130434783</v>
      </c>
      <c r="H23" s="28" t="n">
        <f aca="false">G23-1</f>
        <v>4.21739130434783</v>
      </c>
      <c r="I23" s="28" t="n">
        <f aca="false">G23^(1/C23)-1</f>
        <v>0.511344091489639</v>
      </c>
    </row>
    <row r="24" customFormat="false" ht="15" hidden="false" customHeight="false" outlineLevel="0" collapsed="false">
      <c r="A24" s="19" t="s">
        <v>97</v>
      </c>
      <c r="B24" s="22" t="s">
        <v>136</v>
      </c>
      <c r="C24" s="23" t="n">
        <v>5</v>
      </c>
      <c r="D24" s="24" t="n">
        <v>9</v>
      </c>
      <c r="E24" s="25" t="n">
        <v>15</v>
      </c>
      <c r="F24" s="26" t="n">
        <f aca="false">D24*E24</f>
        <v>135</v>
      </c>
      <c r="G24" s="27" t="n">
        <f aca="false">F24/B9</f>
        <v>11.7391304347826</v>
      </c>
      <c r="H24" s="28" t="n">
        <f aca="false">G24-1</f>
        <v>10.7391304347826</v>
      </c>
      <c r="I24" s="28" t="n">
        <f aca="false">G24^(1/C24)-1</f>
        <v>0.63654211366786</v>
      </c>
    </row>
    <row r="25" customFormat="false" ht="30" hidden="false" customHeight="true" outlineLevel="0" collapsed="false">
      <c r="A25" s="17" t="s">
        <v>137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15" hidden="false" customHeight="false" outlineLevel="0" collapsed="false">
      <c r="A29" s="19" t="s">
        <v>93</v>
      </c>
      <c r="B29" s="22" t="s">
        <v>135</v>
      </c>
      <c r="C29" s="23" t="n">
        <v>4</v>
      </c>
      <c r="D29" s="5" t="s">
        <v>138</v>
      </c>
      <c r="E29" s="24" t="n">
        <v>10</v>
      </c>
      <c r="F29" s="27" t="n">
        <f aca="false">E29/B9</f>
        <v>0.869565217391304</v>
      </c>
      <c r="G29" s="28" t="n">
        <f aca="false">F29-1</f>
        <v>-0.130434782608696</v>
      </c>
      <c r="H29" s="28" t="n">
        <f aca="false">F29^(1/C29)-1</f>
        <v>-0.0343371145993475</v>
      </c>
    </row>
    <row r="30" customFormat="false" ht="23.85" hidden="false" customHeight="false" outlineLevel="0" collapsed="false">
      <c r="A30" s="19" t="s">
        <v>95</v>
      </c>
      <c r="B30" s="22" t="s">
        <v>135</v>
      </c>
      <c r="C30" s="23" t="n">
        <v>4</v>
      </c>
      <c r="D30" s="5" t="s">
        <v>139</v>
      </c>
      <c r="E30" s="24" t="n">
        <v>60</v>
      </c>
      <c r="F30" s="27" t="n">
        <f aca="false">E30/B9</f>
        <v>5.21739130434783</v>
      </c>
      <c r="G30" s="28" t="n">
        <f aca="false">F30-1</f>
        <v>4.21739130434783</v>
      </c>
      <c r="H30" s="28" t="n">
        <f aca="false">F30^(1/C30)-1</f>
        <v>0.511344091489639</v>
      </c>
    </row>
    <row r="31" customFormat="false" ht="15" hidden="false" customHeight="false" outlineLevel="0" collapsed="false">
      <c r="A31" s="19" t="s">
        <v>97</v>
      </c>
      <c r="B31" s="22" t="s">
        <v>136</v>
      </c>
      <c r="C31" s="23" t="n">
        <v>5</v>
      </c>
      <c r="D31" s="5" t="s">
        <v>140</v>
      </c>
      <c r="E31" s="24" t="n">
        <v>110</v>
      </c>
      <c r="F31" s="27" t="n">
        <f aca="false">E31/B9</f>
        <v>9.56521739130435</v>
      </c>
      <c r="G31" s="28" t="n">
        <f aca="false">F31-1</f>
        <v>8.56521739130435</v>
      </c>
      <c r="H31" s="28" t="n">
        <f aca="false">F31^(1/C31)-1</f>
        <v>0.570865381768345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60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5.21739130434783</v>
      </c>
    </row>
    <row r="36" customFormat="false" ht="15" hidden="false" customHeight="false" outlineLevel="0" collapsed="false">
      <c r="A36" s="14" t="s">
        <v>12</v>
      </c>
      <c r="B36" s="30" t="n">
        <f aca="false">B35-1</f>
        <v>4.21739130434783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0.511344091489639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0.869565217391304</v>
      </c>
      <c r="C38" s="29" t="n">
        <f aca="false">MAX(G24,F31)</f>
        <v>11.7391304347826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4.61538461538462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141</v>
      </c>
    </row>
    <row r="43" customFormat="false" ht="15" hidden="false" customHeight="false" outlineLevel="0" collapsed="false">
      <c r="A43" s="2" t="s">
        <v>142</v>
      </c>
    </row>
    <row r="44" customFormat="false" ht="15" hidden="false" customHeight="false" outlineLevel="0" collapsed="false">
      <c r="A44" s="2" t="s">
        <v>143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12" t="s">
        <v>29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30</v>
      </c>
    </row>
    <row r="6" customFormat="false" ht="15" hidden="false" customHeight="false" outlineLevel="0" collapsed="false">
      <c r="A6" s="14" t="s">
        <v>66</v>
      </c>
      <c r="B6" s="15" t="n">
        <v>15</v>
      </c>
    </row>
    <row r="7" customFormat="false" ht="15" hidden="false" customHeight="false" outlineLevel="0" collapsed="false">
      <c r="A7" s="14" t="s">
        <v>67</v>
      </c>
      <c r="B7" s="15" t="n">
        <v>18</v>
      </c>
    </row>
    <row r="8" customFormat="false" ht="15" hidden="false" customHeight="false" outlineLevel="0" collapsed="false">
      <c r="A8" s="14" t="s">
        <v>68</v>
      </c>
      <c r="B8" s="15" t="n">
        <v>24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21</v>
      </c>
    </row>
    <row r="10" customFormat="false" ht="42" hidden="false" customHeight="true" outlineLevel="0" collapsed="false">
      <c r="A10" s="14" t="s">
        <v>70</v>
      </c>
      <c r="B10" s="17" t="s">
        <v>144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145</v>
      </c>
      <c r="B14" s="20" t="n">
        <v>20.7</v>
      </c>
      <c r="C14" s="21" t="s">
        <v>146</v>
      </c>
    </row>
    <row r="15" customFormat="false" ht="15" hidden="false" customHeight="false" outlineLevel="0" collapsed="false">
      <c r="A15" s="19" t="s">
        <v>147</v>
      </c>
      <c r="B15" s="20" t="n">
        <v>17</v>
      </c>
      <c r="C15" s="21" t="s">
        <v>148</v>
      </c>
    </row>
    <row r="16" customFormat="false" ht="15" hidden="false" customHeight="false" outlineLevel="0" collapsed="false">
      <c r="A16" s="19" t="s">
        <v>149</v>
      </c>
      <c r="B16" s="20" t="n">
        <v>9</v>
      </c>
      <c r="C16" s="21" t="s">
        <v>150</v>
      </c>
    </row>
    <row r="17" customFormat="false" ht="15" hidden="false" customHeight="false" outlineLevel="0" collapsed="false">
      <c r="A17" s="19" t="s">
        <v>151</v>
      </c>
      <c r="B17" s="20" t="n">
        <v>5.9</v>
      </c>
      <c r="C17" s="21" t="s">
        <v>152</v>
      </c>
    </row>
    <row r="18" customFormat="false" ht="15" hidden="false" customHeight="false" outlineLevel="0" collapsed="false">
      <c r="A18" s="19" t="s">
        <v>153</v>
      </c>
      <c r="B18" s="20" t="n">
        <v>2.1</v>
      </c>
      <c r="C18" s="21" t="s">
        <v>154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96</v>
      </c>
      <c r="C22" s="23" t="n">
        <v>2.5</v>
      </c>
      <c r="D22" s="24" t="n">
        <v>2.5</v>
      </c>
      <c r="E22" s="25" t="n">
        <v>15</v>
      </c>
      <c r="F22" s="26" t="n">
        <f aca="false">D22*E22</f>
        <v>37.5</v>
      </c>
      <c r="G22" s="27" t="n">
        <f aca="false">F22/B9</f>
        <v>1.78571428571429</v>
      </c>
      <c r="H22" s="28" t="n">
        <f aca="false">G22-1</f>
        <v>0.785714285714286</v>
      </c>
      <c r="I22" s="28" t="n">
        <f aca="false">G22^(1/C22)-1</f>
        <v>0.261028172464996</v>
      </c>
    </row>
    <row r="23" customFormat="false" ht="15" hidden="false" customHeight="false" outlineLevel="0" collapsed="false">
      <c r="A23" s="19" t="s">
        <v>95</v>
      </c>
      <c r="B23" s="22" t="s">
        <v>124</v>
      </c>
      <c r="C23" s="23" t="n">
        <v>3</v>
      </c>
      <c r="D23" s="24" t="n">
        <v>6</v>
      </c>
      <c r="E23" s="25" t="n">
        <v>15</v>
      </c>
      <c r="F23" s="26" t="n">
        <f aca="false">D23*E23</f>
        <v>90</v>
      </c>
      <c r="G23" s="27" t="n">
        <f aca="false">F23/B9</f>
        <v>4.28571428571429</v>
      </c>
      <c r="H23" s="28" t="n">
        <f aca="false">G23-1</f>
        <v>3.28571428571429</v>
      </c>
      <c r="I23" s="28" t="n">
        <f aca="false">G23^(1/C23)-1</f>
        <v>0.62433052162942</v>
      </c>
    </row>
    <row r="24" customFormat="false" ht="15" hidden="false" customHeight="false" outlineLevel="0" collapsed="false">
      <c r="A24" s="19" t="s">
        <v>97</v>
      </c>
      <c r="B24" s="22" t="s">
        <v>135</v>
      </c>
      <c r="C24" s="23" t="n">
        <v>4</v>
      </c>
      <c r="D24" s="24" t="n">
        <v>10</v>
      </c>
      <c r="E24" s="25" t="n">
        <v>18</v>
      </c>
      <c r="F24" s="26" t="n">
        <f aca="false">D24*E24</f>
        <v>180</v>
      </c>
      <c r="G24" s="27" t="n">
        <f aca="false">F24/B9</f>
        <v>8.57142857142857</v>
      </c>
      <c r="H24" s="28" t="n">
        <f aca="false">G24-1</f>
        <v>7.57142857142857</v>
      </c>
      <c r="I24" s="28" t="n">
        <f aca="false">G24^(1/C24)-1</f>
        <v>0.71105237174249</v>
      </c>
    </row>
    <row r="25" customFormat="false" ht="30" hidden="false" customHeight="true" outlineLevel="0" collapsed="false">
      <c r="A25" s="17" t="s">
        <v>155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15" hidden="false" customHeight="false" outlineLevel="0" collapsed="false">
      <c r="A29" s="19" t="s">
        <v>93</v>
      </c>
      <c r="B29" s="22" t="s">
        <v>96</v>
      </c>
      <c r="C29" s="23" t="n">
        <v>2.5</v>
      </c>
      <c r="D29" s="5" t="s">
        <v>156</v>
      </c>
      <c r="E29" s="24" t="n">
        <v>22</v>
      </c>
      <c r="F29" s="27" t="n">
        <f aca="false">E29/B9</f>
        <v>1.04761904761905</v>
      </c>
      <c r="G29" s="28" t="n">
        <f aca="false">F29-1</f>
        <v>0.0476190476190477</v>
      </c>
      <c r="H29" s="28" t="n">
        <f aca="false">F29^(1/C29)-1</f>
        <v>0.0187822140781038</v>
      </c>
    </row>
    <row r="30" customFormat="false" ht="23.85" hidden="false" customHeight="false" outlineLevel="0" collapsed="false">
      <c r="A30" s="19" t="s">
        <v>95</v>
      </c>
      <c r="B30" s="22" t="s">
        <v>124</v>
      </c>
      <c r="C30" s="23" t="n">
        <v>3</v>
      </c>
      <c r="D30" s="5" t="s">
        <v>157</v>
      </c>
      <c r="E30" s="24" t="n">
        <v>90</v>
      </c>
      <c r="F30" s="27" t="n">
        <f aca="false">E30/B9</f>
        <v>4.28571428571429</v>
      </c>
      <c r="G30" s="28" t="n">
        <f aca="false">F30-1</f>
        <v>3.28571428571429</v>
      </c>
      <c r="H30" s="28" t="n">
        <f aca="false">F30^(1/C30)-1</f>
        <v>0.62433052162942</v>
      </c>
    </row>
    <row r="31" customFormat="false" ht="23.85" hidden="false" customHeight="false" outlineLevel="0" collapsed="false">
      <c r="A31" s="19" t="s">
        <v>97</v>
      </c>
      <c r="B31" s="22" t="s">
        <v>135</v>
      </c>
      <c r="C31" s="23" t="n">
        <v>4</v>
      </c>
      <c r="D31" s="5" t="s">
        <v>158</v>
      </c>
      <c r="E31" s="24" t="n">
        <v>150</v>
      </c>
      <c r="F31" s="27" t="n">
        <f aca="false">E31/B9</f>
        <v>7.14285714285714</v>
      </c>
      <c r="G31" s="28" t="n">
        <f aca="false">F31-1</f>
        <v>6.14285714285714</v>
      </c>
      <c r="H31" s="28" t="n">
        <f aca="false">F31^(1/C31)-1</f>
        <v>0.634812655665549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90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4.28571428571429</v>
      </c>
    </row>
    <row r="36" customFormat="false" ht="15" hidden="false" customHeight="false" outlineLevel="0" collapsed="false">
      <c r="A36" s="14" t="s">
        <v>12</v>
      </c>
      <c r="B36" s="30" t="n">
        <f aca="false">B35-1</f>
        <v>3.28571428571429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0.62433052162942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1.04761904761905</v>
      </c>
      <c r="C38" s="29" t="n">
        <f aca="false">MAX(G24,F31)</f>
        <v>8.57142857142857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3.75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159</v>
      </c>
    </row>
    <row r="43" customFormat="false" ht="15" hidden="false" customHeight="false" outlineLevel="0" collapsed="false">
      <c r="A43" s="2" t="s">
        <v>160</v>
      </c>
    </row>
    <row r="44" customFormat="false" ht="15" hidden="false" customHeight="false" outlineLevel="0" collapsed="false">
      <c r="A44" s="2" t="s">
        <v>161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12" t="s">
        <v>33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34</v>
      </c>
    </row>
    <row r="6" customFormat="false" ht="15" hidden="false" customHeight="false" outlineLevel="0" collapsed="false">
      <c r="A6" s="14" t="s">
        <v>66</v>
      </c>
      <c r="B6" s="15" t="n">
        <v>22</v>
      </c>
    </row>
    <row r="7" customFormat="false" ht="15" hidden="false" customHeight="false" outlineLevel="0" collapsed="false">
      <c r="A7" s="14" t="s">
        <v>67</v>
      </c>
      <c r="B7" s="15" t="n">
        <v>28</v>
      </c>
    </row>
    <row r="8" customFormat="false" ht="15" hidden="false" customHeight="false" outlineLevel="0" collapsed="false">
      <c r="A8" s="14" t="s">
        <v>68</v>
      </c>
      <c r="B8" s="15" t="n">
        <v>40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34</v>
      </c>
    </row>
    <row r="10" customFormat="false" ht="42" hidden="false" customHeight="true" outlineLevel="0" collapsed="false">
      <c r="A10" s="14" t="s">
        <v>70</v>
      </c>
      <c r="B10" s="17" t="s">
        <v>162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145</v>
      </c>
      <c r="B14" s="20" t="n">
        <v>20</v>
      </c>
      <c r="C14" s="21" t="s">
        <v>146</v>
      </c>
    </row>
    <row r="15" customFormat="false" ht="15" hidden="false" customHeight="false" outlineLevel="0" collapsed="false">
      <c r="A15" s="19" t="s">
        <v>147</v>
      </c>
      <c r="B15" s="20" t="n">
        <v>13</v>
      </c>
      <c r="C15" s="21" t="s">
        <v>148</v>
      </c>
    </row>
    <row r="16" customFormat="false" ht="15" hidden="false" customHeight="false" outlineLevel="0" collapsed="false">
      <c r="A16" s="19" t="s">
        <v>151</v>
      </c>
      <c r="B16" s="20" t="n">
        <v>7</v>
      </c>
      <c r="C16" s="21" t="s">
        <v>163</v>
      </c>
    </row>
    <row r="17" customFormat="false" ht="15" hidden="false" customHeight="false" outlineLevel="0" collapsed="false">
      <c r="A17" s="19" t="s">
        <v>153</v>
      </c>
      <c r="B17" s="20" t="n">
        <v>2</v>
      </c>
      <c r="C17" s="21" t="s">
        <v>154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96</v>
      </c>
      <c r="C22" s="23" t="n">
        <v>2</v>
      </c>
      <c r="D22" s="24" t="n">
        <v>5</v>
      </c>
      <c r="E22" s="25" t="n">
        <v>12</v>
      </c>
      <c r="F22" s="26" t="n">
        <f aca="false">D22*E22</f>
        <v>60</v>
      </c>
      <c r="G22" s="27" t="n">
        <f aca="false">F22/B9</f>
        <v>1.76470588235294</v>
      </c>
      <c r="H22" s="28" t="n">
        <f aca="false">G22-1</f>
        <v>0.764705882352941</v>
      </c>
      <c r="I22" s="28" t="n">
        <f aca="false">G22^(1/C22)-1</f>
        <v>0.328422328310143</v>
      </c>
    </row>
    <row r="23" customFormat="false" ht="15" hidden="false" customHeight="false" outlineLevel="0" collapsed="false">
      <c r="A23" s="19" t="s">
        <v>95</v>
      </c>
      <c r="B23" s="22" t="s">
        <v>124</v>
      </c>
      <c r="C23" s="23" t="n">
        <v>2.5</v>
      </c>
      <c r="D23" s="24" t="n">
        <v>8</v>
      </c>
      <c r="E23" s="25" t="n">
        <v>15</v>
      </c>
      <c r="F23" s="26" t="n">
        <f aca="false">D23*E23</f>
        <v>120</v>
      </c>
      <c r="G23" s="27" t="n">
        <f aca="false">F23/B9</f>
        <v>3.52941176470588</v>
      </c>
      <c r="H23" s="28" t="n">
        <f aca="false">G23-1</f>
        <v>2.52941176470588</v>
      </c>
      <c r="I23" s="28" t="n">
        <f aca="false">G23^(1/C23)-1</f>
        <v>0.656078548101046</v>
      </c>
    </row>
    <row r="24" customFormat="false" ht="15" hidden="false" customHeight="false" outlineLevel="0" collapsed="false">
      <c r="A24" s="19" t="s">
        <v>97</v>
      </c>
      <c r="B24" s="22" t="s">
        <v>135</v>
      </c>
      <c r="C24" s="23" t="n">
        <v>3.5</v>
      </c>
      <c r="D24" s="24" t="n">
        <v>14</v>
      </c>
      <c r="E24" s="25" t="n">
        <v>16</v>
      </c>
      <c r="F24" s="26" t="n">
        <f aca="false">D24*E24</f>
        <v>224</v>
      </c>
      <c r="G24" s="27" t="n">
        <f aca="false">F24/B9</f>
        <v>6.58823529411765</v>
      </c>
      <c r="H24" s="28" t="n">
        <f aca="false">G24-1</f>
        <v>5.58823529411765</v>
      </c>
      <c r="I24" s="28" t="n">
        <f aca="false">G24^(1/C24)-1</f>
        <v>0.713696970348798</v>
      </c>
    </row>
    <row r="25" customFormat="false" ht="30" hidden="false" customHeight="true" outlineLevel="0" collapsed="false">
      <c r="A25" s="17" t="s">
        <v>164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15" hidden="false" customHeight="false" outlineLevel="0" collapsed="false">
      <c r="A29" s="19" t="s">
        <v>93</v>
      </c>
      <c r="B29" s="22" t="s">
        <v>96</v>
      </c>
      <c r="C29" s="23" t="n">
        <v>2</v>
      </c>
      <c r="D29" s="5" t="s">
        <v>165</v>
      </c>
      <c r="E29" s="24" t="n">
        <v>40</v>
      </c>
      <c r="F29" s="27" t="n">
        <f aca="false">E29/B9</f>
        <v>1.17647058823529</v>
      </c>
      <c r="G29" s="28" t="n">
        <f aca="false">F29-1</f>
        <v>0.176470588235294</v>
      </c>
      <c r="H29" s="28" t="n">
        <f aca="false">F29^(1/C29)-1</f>
        <v>0.0846522890932808</v>
      </c>
    </row>
    <row r="30" customFormat="false" ht="23.85" hidden="false" customHeight="false" outlineLevel="0" collapsed="false">
      <c r="A30" s="19" t="s">
        <v>95</v>
      </c>
      <c r="B30" s="22" t="s">
        <v>124</v>
      </c>
      <c r="C30" s="23" t="n">
        <v>2.5</v>
      </c>
      <c r="D30" s="5" t="s">
        <v>166</v>
      </c>
      <c r="E30" s="24" t="n">
        <v>120</v>
      </c>
      <c r="F30" s="27" t="n">
        <f aca="false">E30/B9</f>
        <v>3.52941176470588</v>
      </c>
      <c r="G30" s="28" t="n">
        <f aca="false">F30-1</f>
        <v>2.52941176470588</v>
      </c>
      <c r="H30" s="28" t="n">
        <f aca="false">F30^(1/C30)-1</f>
        <v>0.656078548101046</v>
      </c>
    </row>
    <row r="31" customFormat="false" ht="15" hidden="false" customHeight="false" outlineLevel="0" collapsed="false">
      <c r="A31" s="19" t="s">
        <v>97</v>
      </c>
      <c r="B31" s="22" t="s">
        <v>135</v>
      </c>
      <c r="C31" s="23" t="n">
        <v>3.5</v>
      </c>
      <c r="D31" s="5" t="s">
        <v>167</v>
      </c>
      <c r="E31" s="24" t="n">
        <v>200</v>
      </c>
      <c r="F31" s="27" t="n">
        <f aca="false">E31/B9</f>
        <v>5.88235294117647</v>
      </c>
      <c r="G31" s="28" t="n">
        <f aca="false">F31-1</f>
        <v>4.88235294117647</v>
      </c>
      <c r="H31" s="28" t="n">
        <f aca="false">F31^(1/C31)-1</f>
        <v>0.659096842307549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120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3.52941176470588</v>
      </c>
    </row>
    <row r="36" customFormat="false" ht="15" hidden="false" customHeight="false" outlineLevel="0" collapsed="false">
      <c r="A36" s="14" t="s">
        <v>12</v>
      </c>
      <c r="B36" s="30" t="n">
        <f aca="false">B35-1</f>
        <v>2.52941176470588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0.656078548101046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1.17647058823529</v>
      </c>
      <c r="C38" s="29" t="n">
        <f aca="false">MAX(G24,F31)</f>
        <v>6.58823529411765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3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168</v>
      </c>
    </row>
    <row r="43" customFormat="false" ht="15" hidden="false" customHeight="false" outlineLevel="0" collapsed="false">
      <c r="A43" s="2" t="s">
        <v>169</v>
      </c>
    </row>
    <row r="44" customFormat="false" ht="15" hidden="false" customHeight="false" outlineLevel="0" collapsed="false">
      <c r="A44" s="2" t="s">
        <v>170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12" t="s">
        <v>37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38</v>
      </c>
    </row>
    <row r="6" customFormat="false" ht="15" hidden="false" customHeight="false" outlineLevel="0" collapsed="false">
      <c r="A6" s="14" t="s">
        <v>66</v>
      </c>
      <c r="B6" s="15" t="n">
        <v>1</v>
      </c>
    </row>
    <row r="7" customFormat="false" ht="15" hidden="false" customHeight="false" outlineLevel="0" collapsed="false">
      <c r="A7" s="14" t="s">
        <v>67</v>
      </c>
      <c r="B7" s="15" t="n">
        <v>3</v>
      </c>
    </row>
    <row r="8" customFormat="false" ht="15" hidden="false" customHeight="false" outlineLevel="0" collapsed="false">
      <c r="A8" s="14" t="s">
        <v>68</v>
      </c>
      <c r="B8" s="15" t="n">
        <v>5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4</v>
      </c>
    </row>
    <row r="10" customFormat="false" ht="42" hidden="false" customHeight="true" outlineLevel="0" collapsed="false">
      <c r="A10" s="14" t="s">
        <v>70</v>
      </c>
      <c r="B10" s="17" t="s">
        <v>171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77</v>
      </c>
      <c r="B14" s="20" t="n">
        <v>20.6</v>
      </c>
      <c r="C14" s="21" t="s">
        <v>146</v>
      </c>
    </row>
    <row r="15" customFormat="false" ht="15" hidden="false" customHeight="false" outlineLevel="0" collapsed="false">
      <c r="A15" s="19" t="s">
        <v>172</v>
      </c>
      <c r="B15" s="20" t="n">
        <v>24.5</v>
      </c>
      <c r="C15" s="21" t="s">
        <v>146</v>
      </c>
    </row>
    <row r="16" customFormat="false" ht="15" hidden="false" customHeight="false" outlineLevel="0" collapsed="false">
      <c r="A16" s="19" t="s">
        <v>173</v>
      </c>
      <c r="B16" s="20" t="n">
        <v>18</v>
      </c>
      <c r="C16" s="21" t="s">
        <v>146</v>
      </c>
    </row>
    <row r="17" customFormat="false" ht="15" hidden="false" customHeight="false" outlineLevel="0" collapsed="false">
      <c r="A17" s="19" t="s">
        <v>174</v>
      </c>
      <c r="B17" s="20" t="n">
        <v>16.9</v>
      </c>
      <c r="C17" s="21" t="s">
        <v>146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124</v>
      </c>
      <c r="C22" s="23" t="n">
        <v>3</v>
      </c>
      <c r="D22" s="24" t="n">
        <v>0.6</v>
      </c>
      <c r="E22" s="25" t="n">
        <v>15</v>
      </c>
      <c r="F22" s="26" t="n">
        <f aca="false">D22*E22</f>
        <v>9</v>
      </c>
      <c r="G22" s="27" t="n">
        <f aca="false">F22/B9</f>
        <v>2.25</v>
      </c>
      <c r="H22" s="28" t="n">
        <f aca="false">G22-1</f>
        <v>1.25</v>
      </c>
      <c r="I22" s="28" t="n">
        <f aca="false">G22^(1/C22)-1</f>
        <v>0.310370697104448</v>
      </c>
    </row>
    <row r="23" customFormat="false" ht="15" hidden="false" customHeight="false" outlineLevel="0" collapsed="false">
      <c r="A23" s="19" t="s">
        <v>95</v>
      </c>
      <c r="B23" s="22" t="s">
        <v>124</v>
      </c>
      <c r="C23" s="23" t="n">
        <v>3</v>
      </c>
      <c r="D23" s="24" t="n">
        <v>1.8</v>
      </c>
      <c r="E23" s="25" t="n">
        <v>17</v>
      </c>
      <c r="F23" s="26" t="n">
        <f aca="false">D23*E23</f>
        <v>30.6</v>
      </c>
      <c r="G23" s="27" t="n">
        <f aca="false">F23/B9</f>
        <v>7.65</v>
      </c>
      <c r="H23" s="28" t="n">
        <f aca="false">G23-1</f>
        <v>6.65</v>
      </c>
      <c r="I23" s="28" t="n">
        <f aca="false">G23^(1/C23)-1</f>
        <v>0.970397336261305</v>
      </c>
    </row>
    <row r="24" customFormat="false" ht="15" hidden="false" customHeight="false" outlineLevel="0" collapsed="false">
      <c r="A24" s="19" t="s">
        <v>97</v>
      </c>
      <c r="B24" s="22" t="s">
        <v>135</v>
      </c>
      <c r="C24" s="23" t="n">
        <v>4</v>
      </c>
      <c r="D24" s="24" t="n">
        <v>3.5</v>
      </c>
      <c r="E24" s="25" t="n">
        <v>20</v>
      </c>
      <c r="F24" s="26" t="n">
        <f aca="false">D24*E24</f>
        <v>70</v>
      </c>
      <c r="G24" s="27" t="n">
        <f aca="false">F24/B9</f>
        <v>17.5</v>
      </c>
      <c r="H24" s="28" t="n">
        <f aca="false">G24-1</f>
        <v>16.5</v>
      </c>
      <c r="I24" s="28" t="n">
        <f aca="false">G24^(1/C24)-1</f>
        <v>1.04531174461752</v>
      </c>
    </row>
    <row r="25" customFormat="false" ht="30" hidden="false" customHeight="true" outlineLevel="0" collapsed="false">
      <c r="A25" s="17" t="s">
        <v>175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15" hidden="false" customHeight="false" outlineLevel="0" collapsed="false">
      <c r="A29" s="19" t="s">
        <v>93</v>
      </c>
      <c r="B29" s="22" t="s">
        <v>124</v>
      </c>
      <c r="C29" s="23" t="n">
        <v>3</v>
      </c>
      <c r="D29" s="5" t="s">
        <v>176</v>
      </c>
      <c r="E29" s="24" t="n">
        <v>5</v>
      </c>
      <c r="F29" s="27" t="n">
        <f aca="false">E29/B9</f>
        <v>1.25</v>
      </c>
      <c r="G29" s="28" t="n">
        <f aca="false">F29-1</f>
        <v>0.25</v>
      </c>
      <c r="H29" s="28" t="n">
        <f aca="false">F29^(1/C29)-1</f>
        <v>0.0772173450159419</v>
      </c>
    </row>
    <row r="30" customFormat="false" ht="23.85" hidden="false" customHeight="false" outlineLevel="0" collapsed="false">
      <c r="A30" s="19" t="s">
        <v>95</v>
      </c>
      <c r="B30" s="22" t="s">
        <v>124</v>
      </c>
      <c r="C30" s="23" t="n">
        <v>3</v>
      </c>
      <c r="D30" s="5" t="s">
        <v>177</v>
      </c>
      <c r="E30" s="24" t="n">
        <v>32</v>
      </c>
      <c r="F30" s="27" t="n">
        <f aca="false">E30/B9</f>
        <v>8</v>
      </c>
      <c r="G30" s="28" t="n">
        <f aca="false">F30-1</f>
        <v>7</v>
      </c>
      <c r="H30" s="28" t="n">
        <f aca="false">F30^(1/C30)-1</f>
        <v>1</v>
      </c>
    </row>
    <row r="31" customFormat="false" ht="15" hidden="false" customHeight="false" outlineLevel="0" collapsed="false">
      <c r="A31" s="19" t="s">
        <v>97</v>
      </c>
      <c r="B31" s="22" t="s">
        <v>135</v>
      </c>
      <c r="C31" s="23" t="n">
        <v>4</v>
      </c>
      <c r="D31" s="5" t="s">
        <v>178</v>
      </c>
      <c r="E31" s="24" t="n">
        <v>60</v>
      </c>
      <c r="F31" s="27" t="n">
        <f aca="false">E31/B9</f>
        <v>15</v>
      </c>
      <c r="G31" s="28" t="n">
        <f aca="false">F31-1</f>
        <v>14</v>
      </c>
      <c r="H31" s="28" t="n">
        <f aca="false">F31^(1/C31)-1</f>
        <v>0.96798967126543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31.3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7.825</v>
      </c>
    </row>
    <row r="36" customFormat="false" ht="15" hidden="false" customHeight="false" outlineLevel="0" collapsed="false">
      <c r="A36" s="14" t="s">
        <v>12</v>
      </c>
      <c r="B36" s="30" t="n">
        <f aca="false">B35-1</f>
        <v>6.825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0.985309018420128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1.25</v>
      </c>
      <c r="C38" s="29" t="n">
        <f aca="false">MAX(G24,F31)</f>
        <v>17.5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6.26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179</v>
      </c>
    </row>
    <row r="43" customFormat="false" ht="15" hidden="false" customHeight="false" outlineLevel="0" collapsed="false">
      <c r="A43" s="2" t="s">
        <v>180</v>
      </c>
    </row>
    <row r="44" customFormat="false" ht="15" hidden="false" customHeight="false" outlineLevel="0" collapsed="false">
      <c r="A44" s="2" t="s">
        <v>181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12" t="s">
        <v>41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42</v>
      </c>
    </row>
    <row r="6" customFormat="false" ht="15" hidden="false" customHeight="false" outlineLevel="0" collapsed="false">
      <c r="A6" s="14" t="s">
        <v>66</v>
      </c>
      <c r="B6" s="15" t="n">
        <v>190</v>
      </c>
    </row>
    <row r="7" customFormat="false" ht="15" hidden="false" customHeight="false" outlineLevel="0" collapsed="false">
      <c r="A7" s="14" t="s">
        <v>67</v>
      </c>
      <c r="B7" s="15" t="n">
        <v>190</v>
      </c>
    </row>
    <row r="8" customFormat="false" ht="15" hidden="false" customHeight="false" outlineLevel="0" collapsed="false">
      <c r="A8" s="14" t="s">
        <v>68</v>
      </c>
      <c r="B8" s="15" t="n">
        <v>220</v>
      </c>
    </row>
    <row r="9" customFormat="false" ht="15" hidden="false" customHeight="false" outlineLevel="0" collapsed="false">
      <c r="A9" s="14" t="s">
        <v>69</v>
      </c>
      <c r="B9" s="16" t="n">
        <f aca="false">AVERAGE(B7:B8)</f>
        <v>205</v>
      </c>
    </row>
    <row r="10" customFormat="false" ht="42" hidden="false" customHeight="true" outlineLevel="0" collapsed="false">
      <c r="A10" s="14" t="s">
        <v>70</v>
      </c>
      <c r="B10" s="17" t="s">
        <v>182</v>
      </c>
    </row>
    <row r="12" customFormat="false" ht="15" hidden="false" customHeight="false" outlineLevel="0" collapsed="false">
      <c r="A12" s="13" t="s">
        <v>72</v>
      </c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false" outlineLevel="0" collapsed="false">
      <c r="A13" s="18" t="s">
        <v>2</v>
      </c>
      <c r="B13" s="18" t="s">
        <v>73</v>
      </c>
      <c r="C13" s="18" t="s">
        <v>74</v>
      </c>
    </row>
    <row r="14" customFormat="false" ht="15" hidden="false" customHeight="false" outlineLevel="0" collapsed="false">
      <c r="A14" s="19" t="s">
        <v>183</v>
      </c>
      <c r="B14" s="20" t="n">
        <v>21</v>
      </c>
      <c r="C14" s="21" t="s">
        <v>184</v>
      </c>
    </row>
    <row r="15" customFormat="false" ht="15" hidden="false" customHeight="false" outlineLevel="0" collapsed="false">
      <c r="A15" s="19" t="s">
        <v>81</v>
      </c>
      <c r="B15" s="20" t="n">
        <v>61</v>
      </c>
      <c r="C15" s="21" t="s">
        <v>185</v>
      </c>
    </row>
    <row r="16" customFormat="false" ht="15" hidden="false" customHeight="false" outlineLevel="0" collapsed="false">
      <c r="A16" s="19" t="s">
        <v>186</v>
      </c>
      <c r="B16" s="20" t="n">
        <v>10</v>
      </c>
      <c r="C16" s="21" t="s">
        <v>187</v>
      </c>
    </row>
    <row r="17" customFormat="false" ht="15" hidden="false" customHeight="false" outlineLevel="0" collapsed="false">
      <c r="A17" s="19" t="s">
        <v>75</v>
      </c>
      <c r="B17" s="20" t="n">
        <v>10.5</v>
      </c>
      <c r="C17" s="21" t="s">
        <v>188</v>
      </c>
    </row>
    <row r="20" customFormat="false" ht="15" hidden="false" customHeight="false" outlineLevel="0" collapsed="false">
      <c r="A20" s="13" t="s">
        <v>83</v>
      </c>
      <c r="B20" s="13"/>
      <c r="C20" s="13"/>
      <c r="D20" s="13"/>
      <c r="E20" s="13"/>
      <c r="F20" s="13"/>
      <c r="G20" s="13"/>
      <c r="H20" s="13"/>
      <c r="I20" s="13"/>
    </row>
    <row r="21" customFormat="false" ht="30" hidden="false" customHeight="true" outlineLevel="0" collapsed="false">
      <c r="A21" s="3" t="s">
        <v>84</v>
      </c>
      <c r="B21" s="3" t="s">
        <v>85</v>
      </c>
      <c r="C21" s="3" t="s">
        <v>86</v>
      </c>
      <c r="D21" s="3" t="s">
        <v>87</v>
      </c>
      <c r="E21" s="3" t="s">
        <v>88</v>
      </c>
      <c r="F21" s="3" t="s">
        <v>89</v>
      </c>
      <c r="G21" s="3" t="s">
        <v>90</v>
      </c>
      <c r="H21" s="3" t="s">
        <v>91</v>
      </c>
      <c r="I21" s="3" t="s">
        <v>92</v>
      </c>
    </row>
    <row r="22" customFormat="false" ht="15" hidden="false" customHeight="false" outlineLevel="0" collapsed="false">
      <c r="A22" s="19" t="s">
        <v>93</v>
      </c>
      <c r="B22" s="22" t="s">
        <v>96</v>
      </c>
      <c r="C22" s="23" t="n">
        <v>2</v>
      </c>
      <c r="D22" s="24" t="n">
        <v>14</v>
      </c>
      <c r="E22" s="25" t="n">
        <v>18</v>
      </c>
      <c r="F22" s="26" t="n">
        <f aca="false">D22*E22</f>
        <v>252</v>
      </c>
      <c r="G22" s="27" t="n">
        <f aca="false">F22/B9</f>
        <v>1.22926829268293</v>
      </c>
      <c r="H22" s="28" t="n">
        <f aca="false">G22-1</f>
        <v>0.229268292682927</v>
      </c>
      <c r="I22" s="28" t="n">
        <f aca="false">G22^(1/C22)-1</f>
        <v>0.108723722431755</v>
      </c>
    </row>
    <row r="23" customFormat="false" ht="15" hidden="false" customHeight="false" outlineLevel="0" collapsed="false">
      <c r="A23" s="19" t="s">
        <v>95</v>
      </c>
      <c r="B23" s="22" t="s">
        <v>96</v>
      </c>
      <c r="C23" s="23" t="n">
        <v>2</v>
      </c>
      <c r="D23" s="24" t="n">
        <v>16</v>
      </c>
      <c r="E23" s="25" t="n">
        <v>25</v>
      </c>
      <c r="F23" s="26" t="n">
        <f aca="false">D23*E23</f>
        <v>400</v>
      </c>
      <c r="G23" s="27" t="n">
        <f aca="false">F23/B9</f>
        <v>1.95121951219512</v>
      </c>
      <c r="H23" s="28" t="n">
        <f aca="false">G23-1</f>
        <v>0.951219512195122</v>
      </c>
      <c r="I23" s="28" t="n">
        <f aca="false">G23^(1/C23)-1</f>
        <v>0.396860591539156</v>
      </c>
    </row>
    <row r="24" customFormat="false" ht="15" hidden="false" customHeight="false" outlineLevel="0" collapsed="false">
      <c r="A24" s="19" t="s">
        <v>97</v>
      </c>
      <c r="B24" s="22" t="s">
        <v>124</v>
      </c>
      <c r="C24" s="23" t="n">
        <v>3</v>
      </c>
      <c r="D24" s="24" t="n">
        <v>25</v>
      </c>
      <c r="E24" s="25" t="n">
        <v>25</v>
      </c>
      <c r="F24" s="26" t="n">
        <f aca="false">D24*E24</f>
        <v>625</v>
      </c>
      <c r="G24" s="27" t="n">
        <f aca="false">F24/B9</f>
        <v>3.04878048780488</v>
      </c>
      <c r="H24" s="28" t="n">
        <f aca="false">G24-1</f>
        <v>2.04878048780488</v>
      </c>
      <c r="I24" s="28" t="n">
        <f aca="false">G24^(1/C24)-1</f>
        <v>0.450024650838133</v>
      </c>
    </row>
    <row r="25" customFormat="false" ht="30" hidden="false" customHeight="true" outlineLevel="0" collapsed="false">
      <c r="A25" s="17" t="s">
        <v>189</v>
      </c>
    </row>
    <row r="27" customFormat="false" ht="15" hidden="false" customHeight="false" outlineLevel="0" collapsed="false">
      <c r="A27" s="13" t="s">
        <v>99</v>
      </c>
      <c r="B27" s="13"/>
      <c r="C27" s="13"/>
      <c r="D27" s="13"/>
      <c r="E27" s="13"/>
      <c r="F27" s="13"/>
      <c r="G27" s="13"/>
      <c r="H27" s="13"/>
      <c r="I27" s="13"/>
    </row>
    <row r="28" customFormat="false" ht="30" hidden="false" customHeight="true" outlineLevel="0" collapsed="false">
      <c r="A28" s="3" t="s">
        <v>84</v>
      </c>
      <c r="B28" s="3" t="s">
        <v>85</v>
      </c>
      <c r="C28" s="3" t="s">
        <v>86</v>
      </c>
      <c r="D28" s="3" t="s">
        <v>100</v>
      </c>
      <c r="E28" s="3" t="s">
        <v>89</v>
      </c>
      <c r="F28" s="3" t="s">
        <v>90</v>
      </c>
      <c r="G28" s="3" t="s">
        <v>91</v>
      </c>
      <c r="H28" s="3" t="s">
        <v>92</v>
      </c>
    </row>
    <row r="29" customFormat="false" ht="15" hidden="false" customHeight="false" outlineLevel="0" collapsed="false">
      <c r="A29" s="19" t="s">
        <v>93</v>
      </c>
      <c r="B29" s="22" t="s">
        <v>96</v>
      </c>
      <c r="C29" s="23" t="n">
        <v>2</v>
      </c>
      <c r="D29" s="5" t="s">
        <v>190</v>
      </c>
      <c r="E29" s="24" t="n">
        <v>190</v>
      </c>
      <c r="F29" s="27" t="n">
        <f aca="false">E29/B9</f>
        <v>0.926829268292683</v>
      </c>
      <c r="G29" s="28" t="n">
        <f aca="false">F29-1</f>
        <v>-0.073170731707317</v>
      </c>
      <c r="H29" s="28" t="n">
        <f aca="false">F29^(1/C29)-1</f>
        <v>-0.0372802753175341</v>
      </c>
    </row>
    <row r="30" customFormat="false" ht="23.85" hidden="false" customHeight="false" outlineLevel="0" collapsed="false">
      <c r="A30" s="19" t="s">
        <v>95</v>
      </c>
      <c r="B30" s="22" t="s">
        <v>96</v>
      </c>
      <c r="C30" s="23" t="n">
        <v>2</v>
      </c>
      <c r="D30" s="5" t="s">
        <v>191</v>
      </c>
      <c r="E30" s="24" t="n">
        <v>400</v>
      </c>
      <c r="F30" s="27" t="n">
        <f aca="false">E30/B9</f>
        <v>1.95121951219512</v>
      </c>
      <c r="G30" s="28" t="n">
        <f aca="false">F30-1</f>
        <v>0.951219512195122</v>
      </c>
      <c r="H30" s="28" t="n">
        <f aca="false">F30^(1/C30)-1</f>
        <v>0.396860591539156</v>
      </c>
    </row>
    <row r="31" customFormat="false" ht="15" hidden="false" customHeight="false" outlineLevel="0" collapsed="false">
      <c r="A31" s="19" t="s">
        <v>97</v>
      </c>
      <c r="B31" s="22" t="s">
        <v>124</v>
      </c>
      <c r="C31" s="23" t="n">
        <v>3</v>
      </c>
      <c r="D31" s="5" t="s">
        <v>192</v>
      </c>
      <c r="E31" s="24" t="n">
        <v>600</v>
      </c>
      <c r="F31" s="27" t="n">
        <f aca="false">E31/B9</f>
        <v>2.92682926829268</v>
      </c>
      <c r="G31" s="28" t="n">
        <f aca="false">F31-1</f>
        <v>1.92682926829268</v>
      </c>
      <c r="H31" s="28" t="n">
        <f aca="false">F31^(1/C31)-1</f>
        <v>0.430427320789531</v>
      </c>
    </row>
    <row r="33" customFormat="false" ht="15" hidden="false" customHeight="false" outlineLevel="0" collapsed="false">
      <c r="A33" s="13" t="s">
        <v>104</v>
      </c>
      <c r="B33" s="13"/>
      <c r="C33" s="13"/>
      <c r="D33" s="13"/>
      <c r="E33" s="13"/>
      <c r="F33" s="13"/>
      <c r="G33" s="13"/>
      <c r="H33" s="13"/>
      <c r="I33" s="13"/>
    </row>
    <row r="34" customFormat="false" ht="15" hidden="false" customHeight="false" outlineLevel="0" collapsed="false">
      <c r="A34" s="14" t="s">
        <v>105</v>
      </c>
      <c r="B34" s="16" t="n">
        <f aca="false">AVERAGE(F23,E30)</f>
        <v>400</v>
      </c>
    </row>
    <row r="35" customFormat="false" ht="15" hidden="false" customHeight="false" outlineLevel="0" collapsed="false">
      <c r="A35" s="14" t="s">
        <v>11</v>
      </c>
      <c r="B35" s="29" t="n">
        <f aca="false">B34/B9</f>
        <v>1.95121951219512</v>
      </c>
    </row>
    <row r="36" customFormat="false" ht="15" hidden="false" customHeight="false" outlineLevel="0" collapsed="false">
      <c r="A36" s="14" t="s">
        <v>12</v>
      </c>
      <c r="B36" s="30" t="n">
        <f aca="false">B35-1</f>
        <v>0.951219512195122</v>
      </c>
    </row>
    <row r="37" customFormat="false" ht="15" hidden="false" customHeight="false" outlineLevel="0" collapsed="false">
      <c r="A37" s="14" t="s">
        <v>13</v>
      </c>
      <c r="B37" s="30" t="n">
        <f aca="false">B35^(1/C23)-1</f>
        <v>0.396860591539156</v>
      </c>
    </row>
    <row r="38" customFormat="false" ht="15" hidden="false" customHeight="false" outlineLevel="0" collapsed="false">
      <c r="A38" s="14" t="s">
        <v>106</v>
      </c>
      <c r="B38" s="29" t="n">
        <f aca="false">MIN(G22,F29)</f>
        <v>0.926829268292683</v>
      </c>
      <c r="C38" s="29" t="n">
        <f aca="false">MAX(G24,F31)</f>
        <v>3.04878048780488</v>
      </c>
    </row>
    <row r="39" customFormat="false" ht="15" hidden="false" customHeight="false" outlineLevel="0" collapsed="false">
      <c r="A39" s="14" t="s">
        <v>107</v>
      </c>
      <c r="B39" s="29" t="n">
        <f aca="false">B34/B8</f>
        <v>1.81818181818182</v>
      </c>
    </row>
    <row r="41" customFormat="false" ht="15" hidden="false" customHeight="false" outlineLevel="0" collapsed="false">
      <c r="A41" s="13" t="s">
        <v>108</v>
      </c>
      <c r="B41" s="13"/>
      <c r="C41" s="13"/>
      <c r="D41" s="13"/>
      <c r="E41" s="13"/>
      <c r="F41" s="13"/>
      <c r="G41" s="13"/>
      <c r="H41" s="13"/>
      <c r="I41" s="13"/>
    </row>
    <row r="42" customFormat="false" ht="15" hidden="false" customHeight="false" outlineLevel="0" collapsed="false">
      <c r="A42" s="2" t="s">
        <v>193</v>
      </c>
    </row>
    <row r="43" customFormat="false" ht="15" hidden="false" customHeight="false" outlineLevel="0" collapsed="false">
      <c r="A43" s="2" t="s">
        <v>194</v>
      </c>
    </row>
    <row r="44" customFormat="false" ht="15" hidden="false" customHeight="false" outlineLevel="0" collapsed="false">
      <c r="A44" s="2" t="s">
        <v>195</v>
      </c>
    </row>
    <row r="45" customFormat="false" ht="15" hidden="false" customHeight="false" outlineLevel="0" collapsed="false">
      <c r="A45" s="2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2026-08-24T09:56:03Z</dcterms:created>
  <dc:creator>openpyxl</dc:creator>
  <dc:description/>
  <dc:language>en-US</dc:language>
  <cp:lastModifiedBy/>
  <dcterms:modified xsi:type="dcterms:W3CDTF">2026-08-24T09:56:03Z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
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Методология" sheetId="2" state="visible" r:id="rId4"/>
    <sheet name="OpenAI" sheetId="3" state="visible" r:id="rId5"/>
    <sheet name="Figure AI" sheetId="4" state="visible" r:id="rId6"/>
    <sheet name="1X" sheetId="5" state="visible" r:id="rId7"/>
    <sheet name="Polymarket" sheetId="6" state="visible" r:id="rId8"/>
    <sheet name="Kalshi" sheetId="7" state="visible" r:id="rId9"/>
    <sheet name="Positron AI" sheetId="8" state="visible" r:id="rId10"/>
    <sheet name="Databricks" sheetId="9" state="visible" r:id="rId11"/>
    <sheet name="VAST Data" sheetId="10" state="visible" r:id="rId12"/>
    <sheet name="ByteDance" sheetId="11" state="visible" r:id="rId13"/>
    <sheet name="Glean" sheetId="12" state="visible" r:id="rId14"/>
    <sheet name="Lightmatter" sheetId="13" state="visible" r:id="rId15"/>
    <sheet name="PsiQuantum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<sst xmlns="http://schemas.openxmlformats.org/spreadsheetml/2006/main" count="975" uniqueCount="295">
  <si>
    <t xml:space="preserve">Veligera Capital — pipeline сделок: расчёт доходности</t>
  </si>
  <si>
    <t xml:space="preserve">Данные на 24.08.2026. Все суммы в $ млрд. Цена на вторичном рынке — индикативный диапазон фактических сделок; подтверждается по запросу на момент сделки.</t>
  </si>
  <si>
    <t xml:space="preserve">Компания</t>
  </si>
  <si>
    <t xml:space="preserve">Сектор</t>
  </si>
  <si>
    <t xml:space="preserve">Последний раунд</t>
  </si>
  <si>
    <t xml:space="preserve">Оценка по последнему раунду</t>
  </si>
  <si>
    <t xml:space="preserve">База для вторички</t>
  </si>
  <si>
    <t xml:space="preserve">Вторичный рынок: низ</t>
  </si>
  <si>
    <t xml:space="preserve">Вторичный рынок: верх</t>
  </si>
  <si>
    <t xml:space="preserve">Цена входа (середина)</t>
  </si>
  <si>
    <t xml:space="preserve">Горизонт / выход</t>
  </si>
  <si>
    <t xml:space="preserve">Оценка на выходе</t>
  </si>
  <si>
    <t xml:space="preserve">MOIC (базовый)</t>
  </si>
  <si>
    <t xml:space="preserve">Upside (базовый)</t>
  </si>
  <si>
    <t xml:space="preserve">IRR (базовый)</t>
  </si>
  <si>
    <t xml:space="preserve">MOIC мин.</t>
  </si>
  <si>
    <t xml:space="preserve">MOIC макс.</t>
  </si>
  <si>
    <t xml:space="preserve">OpenAI</t>
  </si>
  <si>
    <t xml:space="preserve">Генеративный ИИ</t>
  </si>
  <si>
    <t xml:space="preserve">Раунд $122 млрд (крупнейший частный раунд в истории), закрыт 31.03.2026; со-лид SoftBank</t>
  </si>
  <si>
    <t xml:space="preserve">1–2 года (IPO 2026–2027)</t>
  </si>
  <si>
    <t xml:space="preserve">Figure AI</t>
  </si>
  <si>
    <t xml:space="preserve">Гуманоидные роботы для промышленности</t>
  </si>
  <si>
    <t xml:space="preserve">Series C &gt;$1 млрд, закрыт 16.09.2025; лид Parkway Venture Capital</t>
  </si>
  <si>
    <t xml:space="preserve">3–4 года (IPO 2029–2030)</t>
  </si>
  <si>
    <t xml:space="preserve">1X Technologies</t>
  </si>
  <si>
    <t xml:space="preserve">Домашние роботы-помощники</t>
  </si>
  <si>
    <t xml:space="preserve">Series C, до $1 млрд, в процессе — оценка $10+ млрд (предыдущий закрытый: Series B $100 млн, январь 2024, лид EQT Ventures)</t>
  </si>
  <si>
    <t xml:space="preserve">2–3 года (IPO 2029)</t>
  </si>
  <si>
    <t xml:space="preserve">Polymarket</t>
  </si>
  <si>
    <t xml:space="preserve">Рынки предсказаний</t>
  </si>
  <si>
    <t xml:space="preserve">Раунд ~$1 млрд, закрыт в апреле 2026; новые инвесторы D.E. Shaw и G Squared, ICE добавила $600 млн</t>
  </si>
  <si>
    <t xml:space="preserve">2–3 года (IPO 2029 или продажа ICE)</t>
  </si>
  <si>
    <t xml:space="preserve">Kalshi</t>
  </si>
  <si>
    <t xml:space="preserve">Рынки предсказаний (США)</t>
  </si>
  <si>
    <t xml:space="preserve">Series F $1 млрд, закрыт 07.05.2026; лид Coatue (Sequoia, a16z, IVP, Paradigm, Morgan Stanley, ARK)</t>
  </si>
  <si>
    <t xml:space="preserve">1–2 года (IPO 2027–2028)</t>
  </si>
  <si>
    <t xml:space="preserve">Positron AI</t>
  </si>
  <si>
    <t xml:space="preserve">Чипы для ИИ (инференс)</t>
  </si>
  <si>
    <t xml:space="preserve">Series B $230 млн (переподписан), закрыт 04.02.2026; со-лиды ARENA, Jump Trading, Unless; стратеги QIA и Arm</t>
  </si>
  <si>
    <t xml:space="preserve">3–4 года (IPO / M&amp;A 2029–2030)</t>
  </si>
  <si>
    <t xml:space="preserve">Databricks</t>
  </si>
  <si>
    <t xml:space="preserve">Данные и ИИ для корпораций</t>
  </si>
  <si>
    <t xml:space="preserve">Стратегический раунд $5 млрд, закрыт 13.08.2026; лид Coatue (спрос ~$15 млрд)</t>
  </si>
  <si>
    <t xml:space="preserve">VAST Data</t>
  </si>
  <si>
    <t xml:space="preserve">Инфраструктура данных для ИИ</t>
  </si>
  <si>
    <t xml:space="preserve">Series F ~$1 млрд ($500 млн первичных + $500 млн выкуп акций), закрыт 22.04.2026; лид Drive Capital, со-лид Access Industries</t>
  </si>
  <si>
    <t xml:space="preserve">2–3 года (IPO 2028)</t>
  </si>
  <si>
    <t xml:space="preserve">ByteDance</t>
  </si>
  <si>
    <t xml:space="preserve">Соцсети и цифровая реклама</t>
  </si>
  <si>
    <t xml:space="preserve">Выкуп акций у сотрудников по $229.50 за акцию, 15.04.2026 (+14.5% к октябрю 2025) — имплайд-оценка $400–450 млрд</t>
  </si>
  <si>
    <t xml:space="preserve">1–2 года (выкуп акций / блок-трейд)</t>
  </si>
  <si>
    <t xml:space="preserve">Glean</t>
  </si>
  <si>
    <t xml:space="preserve">Корпоративный ИИ-поиск</t>
  </si>
  <si>
    <t xml:space="preserve">Series F $150 млн, закрыт 10.06.2025; лид Wellington Management</t>
  </si>
  <si>
    <t xml:space="preserve">Lightmatter</t>
  </si>
  <si>
    <t xml:space="preserve">Фотоника для ИИ-дата-центров</t>
  </si>
  <si>
    <t xml:space="preserve">Series D $400 млн, закрыт в октябре 2024; лид T. Rowe Price (Fidelity, GV, Viking Global, Lockheed Martin)</t>
  </si>
  <si>
    <t xml:space="preserve">PsiQuantum</t>
  </si>
  <si>
    <t xml:space="preserve">Квантовые вычисления</t>
  </si>
  <si>
    <t xml:space="preserve">Series E $1.0 млрд, объявлен 10.09.2025; лиды BlackRock, Baillie Gifford, Temasek (с NVentures/NVIDIA, QIA, Macquarie)</t>
  </si>
  <si>
    <t xml:space="preserve">4–5 лет (IPO 2029–2030)</t>
  </si>
  <si>
    <t xml:space="preserve">По 1X Technologies и Positron AI последние закрытые раунды устарели, поэтому премия 8–15% считается не от них, а от оценки идущего раунда (1X — Series C ~$10 млрд; Positron — первый транш ~$3.5 млрд).</t>
  </si>
  <si>
    <t xml:space="preserve">Базовый сценарий — среднее двух методов (мультипликаторы публичных аналогов и рыночные якоря) от середины диапазона вторичного рынка. MOIC мин./макс. — границы по всем сценариям обоих методов. Разводнение будущих раундов, комиссии и дисконт за неликвидность не учтены. Не является офертой или инвестиционной рекомендацией.</t>
  </si>
  <si>
    <t xml:space="preserve">Методология и допущения</t>
  </si>
  <si>
    <t xml:space="preserve">Post-money оценка последнего ЗАКРЫТОГО раунда финансирования.</t>
  </si>
  <si>
    <t xml:space="preserve">Цена на вторичном рынке</t>
  </si>
  <si>
    <t xml:space="preserve">Индикативный диапазон: котировки площадок (Forge, Caplight, Nasdaq Private Market) и фактические сделки. Где котировок нет, применяется премия 8–15% к оценке раунда (для 1X и Positron AI — к оценке идущего раунда). Фактическая цена подтверждается по запросу на момент сделки.</t>
  </si>
  <si>
    <t xml:space="preserve">Цена входа в расчётах</t>
  </si>
  <si>
    <t xml:space="preserve">Середина диапазона вторичного рынка. Расчёт от верхней границы даёт доходность ниже, от нижней — выше.</t>
  </si>
  <si>
    <t xml:space="preserve">Метод 1 — мультипликаторы</t>
  </si>
  <si>
    <t xml:space="preserve">Оценка на выходе = прогнозная выручка в год выхода x EV/Revenue публичных аналогов.</t>
  </si>
  <si>
    <t xml:space="preserve">Метод 2 — рыночные якоря</t>
  </si>
  <si>
    <t xml:space="preserve">Оценка на выходе от рыночных сигналов: целевые оценки IPO, раунды в переговорах, оценки прямых конкурентов, размер рынка x целевая доля.</t>
  </si>
  <si>
    <t xml:space="preserve">Сценарии</t>
  </si>
  <si>
    <t xml:space="preserve">Консервативный / базовый / оптимистичный. В one-pager вынесен базовый сценарий = среднее двух методов.</t>
  </si>
  <si>
    <t xml:space="preserve">Метрики</t>
  </si>
  <si>
    <t xml:space="preserve">MOIC = оценка на выходе / цена входа; Upside = MOIC − 1; IRR = MOIC^(1/лет) − 1.</t>
  </si>
  <si>
    <t xml:space="preserve">Жёлтые ячейки</t>
  </si>
  <si>
    <t xml:space="preserve">Ключевые изменяемые допущения (база вторички, премии, выручка, мультипликаторы, оценки-якоря): синий шрифт на жёлтой заливке. Меняйте их — модель пересчитается.</t>
  </si>
  <si>
    <t xml:space="preserve">Ограничения</t>
  </si>
  <si>
    <t xml:space="preserve">Данные по частным компаниям основаны на публикациях СМИ и трекерах (Bloomberg, CNBC, TechCrunch, Sacra, Forge, Caplight) и могут отличаться от фактических. Разводнение будущих раундов, комиссии и дисконт за неликвидность не учтены. Не оферта и не инвестиционная рекомендация.</t>
  </si>
  <si>
    <t xml:space="preserve">1. ЦЕНА</t>
  </si>
  <si>
    <t xml:space="preserve">Последний закрытый раунд</t>
  </si>
  <si>
    <t xml:space="preserve">Оценка по последнему раунду, $ млрд</t>
  </si>
  <si>
    <t xml:space="preserve">База для вторичного рынка, $ млрд</t>
  </si>
  <si>
    <t xml:space="preserve">Премия к базе — нижняя граница</t>
  </si>
  <si>
    <t xml:space="preserve">Премия к базе — верхняя граница</t>
  </si>
  <si>
    <t xml:space="preserve">Цена на вторичном рынке — низ, $ млрд</t>
  </si>
  <si>
    <t xml:space="preserve">Цена на вторичном рынке — верх, $ млрд</t>
  </si>
  <si>
    <t xml:space="preserve">Цена входа в расчётах (середина диапазона), $ млрд</t>
  </si>
  <si>
    <t xml:space="preserve">Примечание</t>
  </si>
  <si>
    <t xml:space="preserve">Диапазон = премия 8–15% к оценке последнего раунда. Тендер сотрудников на $7 млрд закрыт 10.08.2026 по оценке $852 млрд; вторичные сделки перед IPO идут с премией к раунду.</t>
  </si>
  <si>
    <t xml:space="preserve">2. ПУБЛИЧНЫЕ АНАЛОГИ</t>
  </si>
  <si>
    <t xml:space="preserve">Мультипликатор, x</t>
  </si>
  <si>
    <t xml:space="preserve">Комментарий</t>
  </si>
  <si>
    <t xml:space="preserve">Microsoft</t>
  </si>
  <si>
    <t xml:space="preserve">EV/Revenue, авг 2026</t>
  </si>
  <si>
    <t xml:space="preserve">NVIDIA</t>
  </si>
  <si>
    <t xml:space="preserve">P/S TTM</t>
  </si>
  <si>
    <t xml:space="preserve">Alphabet</t>
  </si>
  <si>
    <t xml:space="preserve">Meta</t>
  </si>
  <si>
    <t xml:space="preserve">Palantir</t>
  </si>
  <si>
    <t xml:space="preserve">EV/Revenue — верх диапазона для лидеров ИИ</t>
  </si>
  <si>
    <t xml:space="preserve">3. МЕТОД 1 — МУЛЬТИПЛИКАТОРЫ ВЫРУЧКИ</t>
  </si>
  <si>
    <t xml:space="preserve">Сценарий</t>
  </si>
  <si>
    <t xml:space="preserve">Год выхода</t>
  </si>
  <si>
    <t xml:space="preserve">Лет до выхода</t>
  </si>
  <si>
    <t xml:space="preserve">Выручка на выходе, $ млрд</t>
  </si>
  <si>
    <t xml:space="preserve">EV/Revenue, x</t>
  </si>
  <si>
    <t xml:space="preserve">Оценка на выходе, $ млрд</t>
  </si>
  <si>
    <t xml:space="preserve">MOIC, x</t>
  </si>
  <si>
    <t xml:space="preserve">Upside, %</t>
  </si>
  <si>
    <t xml:space="preserve">IRR, %</t>
  </si>
  <si>
    <t xml:space="preserve">Консервативный</t>
  </si>
  <si>
    <t xml:space="preserve">2027</t>
  </si>
  <si>
    <t xml:space="preserve">Базовый</t>
  </si>
  <si>
    <t xml:space="preserve">2028</t>
  </si>
  <si>
    <t xml:space="preserve">Оптимистичный</t>
  </si>
  <si>
    <t xml:space="preserve">Run-rate выручки &gt;$40 млрд (июль 2026), удвоение за год; план компании ~$62 млрд в 2027 и &gt;$280 млрд к 2030. Целевой сценарий — выручка 2028 ~$110 млрд при мультипликаторе 20x (ниже текущих ~21x ARR).</t>
  </si>
  <si>
    <t xml:space="preserve">4. МЕТОД 2 — РЫНОЧНЫЕ ЯКОРЯ</t>
  </si>
  <si>
    <t xml:space="preserve">Якорь оценки</t>
  </si>
  <si>
    <t xml:space="preserve">IPO по нижней границе: $1 трлн («ниже $1 трлн — nonstarter», С. Альтман)</t>
  </si>
  <si>
    <t xml:space="preserve">IPO 2026–27 в диапазоне $1.5–1.6 трлн</t>
  </si>
  <si>
    <t xml:space="preserve">Траектория крупнейшей публичной компании мира</t>
  </si>
  <si>
    <t xml:space="preserve">5. ИТОГ — БАЗОВЫЙ СЦЕНАРИЙ</t>
  </si>
  <si>
    <t xml:space="preserve">Оценка на выходе (среднее 2 методов), $ млрд</t>
  </si>
  <si>
    <t xml:space="preserve">Доходность инвестора, IRR (базовый)</t>
  </si>
  <si>
    <t xml:space="preserve">Диапазон MOIC (мин. — макс. по всем сценариям)</t>
  </si>
  <si>
    <t xml:space="preserve">Справочно: MOIC от верхней границы вторичного рынка</t>
  </si>
  <si>
    <t xml:space="preserve">ИСТОЧНИКИ И ПРИМЕЧАНИЯ</t>
  </si>
  <si>
    <t xml:space="preserve">• Оценка $852 млрд: CNBC/Bloomberg, 31.03.2026; тендер $7 млрд: CNBC, 10.08.2026</t>
  </si>
  <si>
    <t xml:space="preserve">• Выручка: Bloomberg, 13.08.2026 (run-rate &gt;$40 млрд); FY2025 факт $13.07 млрд</t>
  </si>
  <si>
    <t xml:space="preserve">• IPO: конфиденциальная S-1 (июнь 2026), таргет &gt;$1 трлн, организаторы Goldman/MS/JPM</t>
  </si>
  <si>
    <t xml:space="preserve">• Цена на вторичном рынке индикативна; реальная цена — по запросу на момент сделки.</t>
  </si>
  <si>
    <t xml:space="preserve">Диапазон — фактические котировки вторичного рынка. Бумага торгуется с дисконтом к Series C: Forge $174.00/акция (13–15.08.2026), Nasdaq Private Market $162.71 (16.06.2026).</t>
  </si>
  <si>
    <t xml:space="preserve">Tesla</t>
  </si>
  <si>
    <t xml:space="preserve">EV/Revenue — ИИ/робо-премия</t>
  </si>
  <si>
    <t xml:space="preserve">Intuitive Surgical</t>
  </si>
  <si>
    <t xml:space="preserve">премиальная робототехника</t>
  </si>
  <si>
    <t xml:space="preserve">Fanuc</t>
  </si>
  <si>
    <t xml:space="preserve">промышленные роботы</t>
  </si>
  <si>
    <t xml:space="preserve">Rockwell Automation</t>
  </si>
  <si>
    <t xml:space="preserve">автоматизация</t>
  </si>
  <si>
    <t xml:space="preserve">ABB</t>
  </si>
  <si>
    <t xml:space="preserve">диверсифицированная автоматизация</t>
  </si>
  <si>
    <t xml:space="preserve">2029</t>
  </si>
  <si>
    <t xml:space="preserve">2030</t>
  </si>
  <si>
    <t xml:space="preserve">Мощность BotQ до 100 тыс. роботов/год; заказ UPS до ~100 тыс. роботов к 2029. При 60–80 тыс. поставок/год и ASP/RaaS ~$100–130 тыс. выручка выходит на $8–12 млрд.</t>
  </si>
  <si>
    <t xml:space="preserve">Оценка на уровне Series C ($39 млрд)</t>
  </si>
  <si>
    <t xml:space="preserve">IPO лидера категории гуманоидов (нарратив «Tesla робототехники»)</t>
  </si>
  <si>
    <t xml:space="preserve">Ре-рейтинг на массовых поставках</t>
  </si>
  <si>
    <t xml:space="preserve">• Series C $39 млрд: figure.ai/news/series-c; TechCrunch, 16.09.2025</t>
  </si>
  <si>
    <t xml:space="preserve">• BMW Spartanburg (Figure 03 в продакшне с июня 2026), UPS — по сообщениям СМИ</t>
  </si>
  <si>
    <t xml:space="preserve">• TAM: Goldman Sachs $38 млрд к 2035; Morgan Stanley $5 трлн к 2050</t>
  </si>
  <si>
    <t xml:space="preserve">Диапазон — фактические котировки вторичного рынка. Оценка идущего Series C — $10+ млрд (The Information); Nasdaq Private Market ~$662/акция (31.07.2026). Закрытый Series B (01.2024, $0.82 млрд) устарел и в расчёте не используется.</t>
  </si>
  <si>
    <t xml:space="preserve">iRobot</t>
  </si>
  <si>
    <t xml:space="preserve">предостерегающий комп: консьюмер-железо без ИИ-рва</t>
  </si>
  <si>
    <t xml:space="preserve">Цель — 100 тыс. роботов/год к концу 2027. Парк 150–250 тыс. штук к 2029 при $20 тыс. за робота или $6 тыс./год подписки даёт выручку $3–4 млрд (базовый сценарий — $3.5 млрд).</t>
  </si>
  <si>
    <t xml:space="preserve">Оценка на уровне идущего Series C ($10 млрд)</t>
  </si>
  <si>
    <t xml:space="preserve">Кратный рост к идущему Series C при выходе NEO на серийные поставки</t>
  </si>
  <si>
    <t xml:space="preserve">Массовое проникновение домашних роботов</t>
  </si>
  <si>
    <t xml:space="preserve">• Series B $100 млн: 1x.tech, январь 2024; Series C в процессе: The Information, сентябрь 2025</t>
  </si>
  <si>
    <t xml:space="preserve">• NEO: 10 тыс.+ предзаказов за 5 дней (бэклог &gt;$200 млн); производство в Hayward, CA с апреля 2026</t>
  </si>
  <si>
    <t xml:space="preserve">• EQT: контракт до 10 тыс. роботов для портфельных компаний 2026–2030</t>
  </si>
  <si>
    <t xml:space="preserve">Диапазон — фактические котировки вторичного рынка. Вторичные сделки идут вблизи апрельской отметки раунда; для справки: Bloomberg/CNBC (04.08.2026) сообщали о переговорах по раунду выше $20 млрд.</t>
  </si>
  <si>
    <t xml:space="preserve">Robinhood</t>
  </si>
  <si>
    <t xml:space="preserve">EV/Revenue</t>
  </si>
  <si>
    <t xml:space="preserve">CME Group</t>
  </si>
  <si>
    <t xml:space="preserve">биржевой оператор</t>
  </si>
  <si>
    <t xml:space="preserve">ICE</t>
  </si>
  <si>
    <t xml:space="preserve">8–10x, стратегический акционер</t>
  </si>
  <si>
    <t xml:space="preserve">Coinbase</t>
  </si>
  <si>
    <t xml:space="preserve">крипто-биржа</t>
  </si>
  <si>
    <t xml:space="preserve">DraftKings</t>
  </si>
  <si>
    <t xml:space="preserve">беттинг — нижняя граница</t>
  </si>
  <si>
    <t xml:space="preserve">Annualized-выручка &gt;$1 млрд уже через 6 недель после запуска биржи в США. Bernstein: объёмы отрасли $1 трлн к 2030; при доле ~30% и комиссии ~2% выручка Polymarket выходит на $6 млрд.</t>
  </si>
  <si>
    <t xml:space="preserve">Оценка идущего раунда (&gt;$20 млрд)</t>
  </si>
  <si>
    <t xml:space="preserve">Паритет с Kalshi по обороту + премия за глобальный рынок</t>
  </si>
  <si>
    <t xml:space="preserve">Ре-рейтинг категории до биржевой инфраструктуры (CME/ICE)</t>
  </si>
  <si>
    <t xml:space="preserve">• Раунд $15 млрд: Bloomberg 20.04.2026; раунд &gt;$20 млрд в переговорах: Bloomberg/CNBC 04.08.2026</t>
  </si>
  <si>
    <t xml:space="preserve">• Выручка &gt;$1 млрд annualized: CNBC, 26.06.2026; обороты ~$9–10.5 млрд/мес</t>
  </si>
  <si>
    <t xml:space="preserve">• ICE: инвестиции до $2 млрд (окт 2025) + дистрибуция данных; партнёрство с X/xAI</t>
  </si>
  <si>
    <t xml:space="preserve">Диапазон — фактические котировки вторичного рынка. Фактические сделки на вторичном рынке идут около $35 млрд: рынок уже отыгрывает раунд по оценке $40 млрд, который обсуждают Sequoia и Wellington (CoinDesk, 13.08.2026).</t>
  </si>
  <si>
    <t xml:space="preserve">биржа</t>
  </si>
  <si>
    <t xml:space="preserve">Выручка: $263.5 млн за 2025 → run-rate ~$4 млрд к июлю 2026 (пик ЧМ по футболу). Базовый сценарий консервативен: $6 млрд выручки к 2028 при мультипликаторе биржевых операторов 12x.</t>
  </si>
  <si>
    <t xml:space="preserve">Оценка идущего раунда ($40 млрд)</t>
  </si>
  <si>
    <t xml:space="preserve">IPO ~2027–28 при мультипликаторах биржевых операторов</t>
  </si>
  <si>
    <t xml:space="preserve">Категория выходит на объёмы $1.5 трлн (Macquarie)</t>
  </si>
  <si>
    <t xml:space="preserve">• Series F $1 млрд @ $22 млрд: TechCrunch/BusinessWire, 07.05.2026</t>
  </si>
  <si>
    <t xml:space="preserve">• Раунд @ $40 млрд в переговорах: CoinDesk, 13.08.2026</t>
  </si>
  <si>
    <t xml:space="preserve">• Выручка 2025 $263.5 млн, run-rate ~$4 млрд (июль 2026); всего привлечено ~$2.8 млрд</t>
  </si>
  <si>
    <t xml:space="preserve">База для вторичного рынка, $ млрд (оценка идущего раунда)</t>
  </si>
  <si>
    <t xml:space="preserve">Диапазон — фактические котировки вторичного рынка. Bloomberg (08.07.2026): раунд ~$750 млн двумя траншами по оценкам ~$3.5 и ~$5 млрд — вторичный рынок торгуется по верхней границе этих переговоров, кратно выше Series B.</t>
  </si>
  <si>
    <t xml:space="preserve">Broadcom</t>
  </si>
  <si>
    <t xml:space="preserve">AMD</t>
  </si>
  <si>
    <t xml:space="preserve">Marvell</t>
  </si>
  <si>
    <t xml:space="preserve">2031</t>
  </si>
  <si>
    <t xml:space="preserve">Букинги: контракт Oracle $50.4 млн (344 сервера Atlas), Cloudflare, Parasail. Целевой сценарий — ramp собственного чипа Asimov (производство с 2027) до выручки ~$1.8 млрд к 2029; рынок инференс-чипов $37 млрд к 2030.</t>
  </si>
  <si>
    <t xml:space="preserve">Оценка верхнего транша идущего раунда ($5 млрд)</t>
  </si>
  <si>
    <t xml:space="preserve">Путь Cerebras: IPO при выручке $1 млрд+ или продажа стратегу (Arm в капитале)</t>
  </si>
  <si>
    <t xml:space="preserve">Закрепление доли в инференсе против Nvidia</t>
  </si>
  <si>
    <t xml:space="preserve">• Series B $230 млн, &gt;$1 млрд post: BusinessWire/TechCrunch, 04.02.2026</t>
  </si>
  <si>
    <t xml:space="preserve">• Раунд по $3.5–5 млрд в переговорах: Bloomberg, 08.07.2026</t>
  </si>
  <si>
    <t xml:space="preserve">• Контракт Oracle: EE Times, апрель 2026; TAM инференс-чипов $37 млрд к 2030</t>
  </si>
  <si>
    <t xml:space="preserve">Диапазон — фактические котировки вторичного рынка. Раунд закрыт в августе 2026 при переподписке втрое; вторичные сделки перед IPO идут с премией к раунду.</t>
  </si>
  <si>
    <t xml:space="preserve">Snowflake</t>
  </si>
  <si>
    <t xml:space="preserve">EV/Revenue — прямой аналог</t>
  </si>
  <si>
    <t xml:space="preserve">верх диапазона</t>
  </si>
  <si>
    <t xml:space="preserve">MongoDB</t>
  </si>
  <si>
    <t xml:space="preserve">инфраструктура данных</t>
  </si>
  <si>
    <t xml:space="preserve">мегакэп</t>
  </si>
  <si>
    <t xml:space="preserve">Run-rate $7 млрд (июль 2026) при росте &gt;80% г/г с ускорением и положительном денежном потоке. Сохранение темпа даёт ~$16 млрд к 2028; Snowflake торгуется по 21x, Palantir — по 61x.</t>
  </si>
  <si>
    <t xml:space="preserve">Оценка остаётся на уровне раунда ($190 млрд)</t>
  </si>
  <si>
    <t xml:space="preserve">IPO 2027–28 — один из крупнейших листингов десятилетия</t>
  </si>
  <si>
    <t xml:space="preserve">Пост-IPO ре-рейтинг на траектории роста &gt;60%</t>
  </si>
  <si>
    <t xml:space="preserve">• Раунд $5 млрд @ $190 млрд: CNBC, 13.08.2026; пресс-релиз Databricks</t>
  </si>
  <si>
    <t xml:space="preserve">• Run-rate $7 млрд, рост &gt;80% г/г: данные компании, квартал до июля 2026</t>
  </si>
  <si>
    <t xml:space="preserve">• Всего привлечено ~$25 млрд; IPO: CEO исключил 2026 год</t>
  </si>
  <si>
    <t xml:space="preserve">Диапазон — фактические котировки вторичного рынка. Бумага торгуется с дисконтом к апрельскому раунду ($30 млрд): половина сделки Series F пришлась на выкуп акций, что уже удовлетворило часть спроса на выход.</t>
  </si>
  <si>
    <t xml:space="preserve">EV/Revenue — ближайший аналог по профилю роста</t>
  </si>
  <si>
    <t xml:space="preserve">Pure Storage</t>
  </si>
  <si>
    <t xml:space="preserve">хранение данных</t>
  </si>
  <si>
    <t xml:space="preserve">Nutanix</t>
  </si>
  <si>
    <t xml:space="preserve">инфраструктурный софт</t>
  </si>
  <si>
    <t xml:space="preserve">NetApp</t>
  </si>
  <si>
    <t xml:space="preserve">традиционное хранение — нижняя граница</t>
  </si>
  <si>
    <t xml:space="preserve">CARR превысил $500 млн на конец FY2026, цель компании — более $1 млрд к концу FY2027 при валовой марже ~90% и положительном денежном потоке пятый год подряд. Контракт с CoreWeave на $1.17 млрд превышает весь текущий CARR.</t>
  </si>
  <si>
    <t xml:space="preserve">Оценка остаётся на уровне Series F ($30 млрд)</t>
  </si>
  <si>
    <t xml:space="preserve">IPO 2028 с удвоением к оценке раунда</t>
  </si>
  <si>
    <t xml:space="preserve">Ре-рейтинг как инфраструктуры ИИ первого эшелона</t>
  </si>
  <si>
    <t xml:space="preserve">• Series F $30 млрд post-money: анонс 22.04.2026; лид Drive Capital, со-лид Access Industries</t>
  </si>
  <si>
    <t xml:space="preserve">• CARR &gt;$500 млн (FY2026), цель &gt;$1 млрд (FY2027), маржа ~90%: данные компании</t>
  </si>
  <si>
    <t xml:space="preserve">• IPO: CEO Ренен Халлак — готовность к листингу к концу 2026 (Axios Pro, 22.04.2026); S-1 не подана</t>
  </si>
  <si>
    <t xml:space="preserve">• Риск концентрации: контракт CoreWeave $1.17 млрд (06.11.2025) больше всего CARR компании</t>
  </si>
  <si>
    <t xml:space="preserve">Диапазон — фактические котировки вторичного рынка. Reuters (февраль 2026): General Atlantic продавал пакет по оценке $550 млрд; к апрелю 2026 биды поднялись выше $600 млрд. Официальный выкуп для сотрудников идёт по более низкой оценке.</t>
  </si>
  <si>
    <t xml:space="preserve">EV/Revenue — прямой аналог по рекламе</t>
  </si>
  <si>
    <t xml:space="preserve">Reddit</t>
  </si>
  <si>
    <t xml:space="preserve">соцсети — верх диапазона</t>
  </si>
  <si>
    <t xml:space="preserve">Tencent</t>
  </si>
  <si>
    <t xml:space="preserve">китайский технологический холдинг</t>
  </si>
  <si>
    <t xml:space="preserve">Kuaishou</t>
  </si>
  <si>
    <t xml:space="preserve">прямой конкурент в Китае — нижняя граница</t>
  </si>
  <si>
    <t xml:space="preserve">Выручка 2025 — около $186 млрд (+20% г/г), фактически вровень с Meta; зарубежная выручка выросла примерно в полтора раза. При сохранении темпа выручка 2027 выходит на $250 млрд; текущая вторичка соответствует ~3.2x EV/Revenue против 7.5x у Meta.</t>
  </si>
  <si>
    <t xml:space="preserve">Оценка остаётся на уровне текущей вторички ($600 млрд)</t>
  </si>
  <si>
    <t xml:space="preserve">Следующие раунды выкупа и блок-трейды при росте выручки</t>
  </si>
  <si>
    <t xml:space="preserve">Сокращение разрыва в мультипликаторах с Meta</t>
  </si>
  <si>
    <t xml:space="preserve">• Выкуп по $229.50/акция, имплайд $400–450 млрд: китайские деловые СМИ, 15.04.2026</t>
  </si>
  <si>
    <t xml:space="preserve">• Вторичный рынок: $550 млрд (Reuters, февраль 2026), биды выше $600 млрд к апрелю 2026</t>
  </si>
  <si>
    <t xml:space="preserve">• Выручка 2025 ~$186 млрд (+20%): eMarketer, Bloomberg; капзатраты на ИИ в 2026 — около $70 млрд</t>
  </si>
  <si>
    <t xml:space="preserve">• СП по TikTok в США закрыто 22.01.2026 (Oracle, Silver Lake, MGX по 15%); IPO отложено решением совета (май 2026)</t>
  </si>
  <si>
    <t xml:space="preserve">Диапазон — фактические котировки вторичного рынка. Вторичные сделки идут по $44–47 за акцию против $49.09 в Series F — дисконт около 10% к раунду.</t>
  </si>
  <si>
    <t xml:space="preserve">верх диапазона корпоративного софта</t>
  </si>
  <si>
    <t xml:space="preserve">Datadog</t>
  </si>
  <si>
    <t xml:space="preserve">ServiceNow</t>
  </si>
  <si>
    <t xml:space="preserve">EV/Revenue — после падения мультипликаторов в 2026</t>
  </si>
  <si>
    <t xml:space="preserve">ARR превысил $300 млн (май 2026), рост 89% г/г — утроение за 15 месяцев ($100 млн в начале 2025 → $200 млн в декабре → $300 млн в мае). Триггер для IPO аналитики видят на $500 млн — $1 млрд ARR.</t>
  </si>
  <si>
    <t xml:space="preserve">Продажа стратегу по нижней границе (прецедент: Workday купил Sana за $1.1 млрд)</t>
  </si>
  <si>
    <t xml:space="preserve">IPO 2028 в диапазоне $15–20 млрд</t>
  </si>
  <si>
    <t xml:space="preserve">Лидер категории корпоративного ИИ-поиска</t>
  </si>
  <si>
    <t xml:space="preserve">• Series F $150 млн @ $7.2 млрд: 10.06.2025, лид Wellington Management; раунда 2026 года нет</t>
  </si>
  <si>
    <t xml:space="preserve">• ARR &gt;$300 млн (28.05.2026), +89% г/г; более 1 млн пользователей; всего привлечено ~$765 млн</t>
  </si>
  <si>
    <t xml:space="preserve">• Вторичный рынок: $44–47/акция против $49.09 в раунде (дисконт ~10%)</t>
  </si>
  <si>
    <t xml:space="preserve">• Риск: часть выручки — потребление, а не подписка; мультипликаторы корпоративного софта в 2026 сжались</t>
  </si>
  <si>
    <t xml:space="preserve">Диапазон — фактические котировки вторичного рынка. Вторичный рынок оценивает компанию примерно в $4.6 млрд (Forge $84.48, Hiive $89.53 за акцию, 21.08.2026) — вблизи оценки Series D двухлетней давности.</t>
  </si>
  <si>
    <t xml:space="preserve">Lumentum</t>
  </si>
  <si>
    <t xml:space="preserve">оптические компоненты</t>
  </si>
  <si>
    <t xml:space="preserve">NTM EV/Revenue</t>
  </si>
  <si>
    <t xml:space="preserve">Coherent</t>
  </si>
  <si>
    <t xml:space="preserve">оптика</t>
  </si>
  <si>
    <t xml:space="preserve">Выручка не раскрывается. Ставка на переход отрасли к оптическим соединениям между чипами: рынок оптики для ИИ-дата-центров растёт с $13.7 млрд (2024) до прогнозных $144 млрд к 2030 году.</t>
  </si>
  <si>
    <t xml:space="preserve">Продажа стратегу по прецеденту Celestial AI (Marvell, $3.25 млрд + earnout)</t>
  </si>
  <si>
    <t xml:space="preserve">IPO или продажа стратегу при выходе технологии в серию</t>
  </si>
  <si>
    <t xml:space="preserve">Стандарт отрасли по оптическим соединениям</t>
  </si>
  <si>
    <t xml:space="preserve">• Series D $400 млн @ $4.4 млрд: октябрь 2024, лид T. Rowe Price; новых раундов нет</t>
  </si>
  <si>
    <t xml:space="preserve">• Вторичный рынок ~$4.6 млрд: Forge и Hiive, 21.08.2026; всего привлечено ~$850 млн</t>
  </si>
  <si>
    <t xml:space="preserve">• Июнь 2026: вошла в экосистему NVIDIA NVLink Fusion; август 2026 — возглавила рабочую группу Open Compute Project из 19 компаний</t>
  </si>
  <si>
    <t xml:space="preserve">• Прецедент M&amp;A: Marvell закрыл покупку Celestial AI 02.02.2026 за $3.25 млрд (до $5.5 млрд с earnout)</t>
  </si>
  <si>
    <t xml:space="preserve">Диапазон = премия 8–15% к оценке последнего раунда. Биржевых котировок нет; вторичное размещение открыто 12.08.2026. Диапазон рассчитан как премия 8–15% к оценке Series E.</t>
  </si>
  <si>
    <t xml:space="preserve">IonQ</t>
  </si>
  <si>
    <t xml:space="preserve">капитализация $16.5 млрд к выручке FY26 $280–290 млн</t>
  </si>
  <si>
    <t xml:space="preserve">Rigetti</t>
  </si>
  <si>
    <t xml:space="preserve">капитализация $4.8 млрд к выручке ~$24 млн — премия за ожидания</t>
  </si>
  <si>
    <t xml:space="preserve">D-Wave</t>
  </si>
  <si>
    <t xml:space="preserve">капитализация $6.9 млрд к выручке ~$44 млн</t>
  </si>
  <si>
    <t xml:space="preserve">Quantinuum</t>
  </si>
  <si>
    <t xml:space="preserve">оценка на IPO 04.06.2026, $ млрд</t>
  </si>
  <si>
    <t xml:space="preserve">Компания до выручки: все поступления — государственные и партнёрские контракты. Одна из двух компаний (вместе с Microsoft) в стадии C программы DARPA QBI. Публичные квантовые компании торгуются по 50–200 годовых выручек — сектор оценивают по ожиданиям, а не по финансам.</t>
  </si>
  <si>
    <t xml:space="preserve">Оценка остаётся вблизи Series E ($8 млрд)</t>
  </si>
  <si>
    <t xml:space="preserve">IPO 2029–30 с премией к Quantinuum ($15.6 млрд на листинге в июне 2026)</t>
  </si>
  <si>
    <t xml:space="preserve">Первый в мире отказоустойчивый квантовый компьютер выходит в серию</t>
  </si>
  <si>
    <t xml:space="preserve">• Series E $1.0 млрд @ $7 млрд: 10.09.2025; лиды BlackRock, Baillie Gifford, Temasek</t>
  </si>
  <si>
    <t xml:space="preserve">• Всего мобилизовано ~$3.5–3.7 млрд: ~$2.3 млрд частных + A$940 млн Австралия + &gt;$500 млн Иллинойс + $125 млн DARPA</t>
  </si>
  <si>
    <t xml:space="preserve">• Окно выхода открылось: Quantinuum вышел на Nasdaq 04.06.2026, привлёк $1.68 млрд при оценке ~$15.6 млрд</t>
  </si>
  <si>
    <t xml:space="preserve">• Риски: перенос площадки в Брисбене и сдвиг сроков к 2029–2030, аудит ANAO по австралийской сделке, временный CEO (Виктор Пенг с 10.02.2026), недоказанная отказоустойчивость фотонного подхода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</si>
</sst>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0.0\x"/>
    <numFmt numFmtId="167" formatCode="0%"/>
    <numFmt numFmtId="168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5" min="13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23.85" hidden="false" customHeight="false" outlineLevel="0" collapsed="false">
      <c r="A5" s="4" t="s">
        <v>17</v>
      </c>
      <c r="B5" s="5" t="s">
        <v>18</v>
      </c>
      <c r="C5" s="5" t="s">
        <v>19</v>
      </c>
      <c r="D5" s="6" t="n">
        <f aca="false">OpenAI!B6</f>
        <v>852</v>
      </c>
      <c r="E5" s="6" t="n">
        <f aca="false">OpenAI!B7</f>
        <v>852</v>
      </c>
      <c r="F5" s="6" t="n">
        <f aca="false">OpenAI!B10</f>
        <v>920.16</v>
      </c>
      <c r="G5" s="6" t="n">
        <f aca="false">OpenAI!B11</f>
        <v>979.8</v>
      </c>
      <c r="H5" s="6" t="n">
        <f aca="false">OpenAI!B12</f>
        <v>949.98</v>
      </c>
      <c r="I5" s="7" t="s">
        <v>20</v>
      </c>
      <c r="J5" s="6" t="n">
        <f aca="false">OpenAI!B36</f>
        <v>1600</v>
      </c>
      <c r="K5" s="8" t="n">
        <f aca="false">OpenAI!B37</f>
        <v>1.68424598412598</v>
      </c>
      <c r="L5" s="9" t="n">
        <f aca="false">OpenAI!B38</f>
        <v>0.684245984125982</v>
      </c>
      <c r="M5" s="9" t="n">
        <f aca="false">OpenAI!B39</f>
        <v>0.297785030013053</v>
      </c>
      <c r="N5" s="8" t="n">
        <f aca="false">OpenAI!B40</f>
        <v>1.05265374007874</v>
      </c>
      <c r="O5" s="8" t="n">
        <f aca="false">OpenAI!C40</f>
        <v>3.24217351944251</v>
      </c>
    </row>
    <row r="6" customFormat="false" ht="23.85" hidden="false" customHeight="false" outlineLevel="0" collapsed="false">
      <c r="A6" s="4" t="s">
        <v>21</v>
      </c>
      <c r="B6" s="5" t="s">
        <v>22</v>
      </c>
      <c r="C6" s="5" t="s">
        <v>23</v>
      </c>
      <c r="D6" s="6" t="n">
        <f aca="false">'Figure AI'!B6</f>
        <v>39</v>
      </c>
      <c r="E6" s="6" t="n">
        <f aca="false">'Figure AI'!B7</f>
        <v>39</v>
      </c>
      <c r="F6" s="6" t="n">
        <f aca="false">'Figure AI'!B10</f>
        <v>30</v>
      </c>
      <c r="G6" s="6" t="n">
        <f aca="false">'Figure AI'!B11</f>
        <v>33</v>
      </c>
      <c r="H6" s="6" t="n">
        <f aca="false">'Figure AI'!B12</f>
        <v>31.5</v>
      </c>
      <c r="I6" s="7" t="s">
        <v>24</v>
      </c>
      <c r="J6" s="6" t="n">
        <f aca="false">'Figure AI'!B36</f>
        <v>100</v>
      </c>
      <c r="K6" s="8" t="n">
        <f aca="false">'Figure AI'!B37</f>
        <v>3.17460317460317</v>
      </c>
      <c r="L6" s="9" t="n">
        <f aca="false">'Figure AI'!B38</f>
        <v>2.17460317460317</v>
      </c>
      <c r="M6" s="9" t="n">
        <f aca="false">'Figure AI'!B39</f>
        <v>0.39104071511099</v>
      </c>
      <c r="N6" s="8" t="n">
        <f aca="false">'Figure AI'!B40</f>
        <v>1.23809523809524</v>
      </c>
      <c r="O6" s="8" t="n">
        <f aca="false">'Figure AI'!C40</f>
        <v>6.85714285714286</v>
      </c>
    </row>
    <row r="7" customFormat="false" ht="35.05" hidden="false" customHeight="false" outlineLevel="0" collapsed="false">
      <c r="A7" s="4" t="s">
        <v>25</v>
      </c>
      <c r="B7" s="5" t="s">
        <v>26</v>
      </c>
      <c r="C7" s="5" t="s">
        <v>27</v>
      </c>
      <c r="D7" s="6" t="n">
        <f aca="false">1X!B6</f>
        <v>10</v>
      </c>
      <c r="E7" s="6" t="n">
        <f aca="false">1X!B7</f>
        <v>10</v>
      </c>
      <c r="F7" s="6" t="n">
        <f aca="false">1X!B10</f>
        <v>10.5</v>
      </c>
      <c r="G7" s="6" t="n">
        <f aca="false">1X!B11</f>
        <v>12</v>
      </c>
      <c r="H7" s="6" t="n">
        <f aca="false">1X!B12</f>
        <v>11.25</v>
      </c>
      <c r="I7" s="7" t="s">
        <v>28</v>
      </c>
      <c r="J7" s="6" t="n">
        <f aca="false">1X!B36</f>
        <v>40</v>
      </c>
      <c r="K7" s="8" t="n">
        <f aca="false">1X!B37</f>
        <v>3.55555555555556</v>
      </c>
      <c r="L7" s="9" t="n">
        <f aca="false">1X!B38</f>
        <v>2.55555555555556</v>
      </c>
      <c r="M7" s="9" t="n">
        <f aca="false">1X!B39</f>
        <v>0.660974586154023</v>
      </c>
      <c r="N7" s="8" t="n">
        <f aca="false">1X!B40</f>
        <v>0.888888888888889</v>
      </c>
      <c r="O7" s="8" t="n">
        <f aca="false">1X!C40</f>
        <v>9.33333333333333</v>
      </c>
    </row>
    <row r="8" customFormat="false" ht="35.05" hidden="false" customHeight="false" outlineLevel="0" collapsed="false">
      <c r="A8" s="4" t="s">
        <v>29</v>
      </c>
      <c r="B8" s="5" t="s">
        <v>30</v>
      </c>
      <c r="C8" s="5" t="s">
        <v>31</v>
      </c>
      <c r="D8" s="6" t="n">
        <f aca="false">Polymarket!B6</f>
        <v>15</v>
      </c>
      <c r="E8" s="6" t="n">
        <f aca="false">Polymarket!B7</f>
        <v>15</v>
      </c>
      <c r="F8" s="6" t="n">
        <f aca="false">Polymarket!B10</f>
        <v>13.5</v>
      </c>
      <c r="G8" s="6" t="n">
        <f aca="false">Polymarket!B11</f>
        <v>15</v>
      </c>
      <c r="H8" s="6" t="n">
        <f aca="false">Polymarket!B12</f>
        <v>14.25</v>
      </c>
      <c r="I8" s="7" t="s">
        <v>32</v>
      </c>
      <c r="J8" s="6" t="n">
        <f aca="false">Polymarket!B36</f>
        <v>45</v>
      </c>
      <c r="K8" s="8" t="n">
        <f aca="false">Polymarket!B37</f>
        <v>3.15789473684211</v>
      </c>
      <c r="L8" s="9" t="n">
        <f aca="false">Polymarket!B38</f>
        <v>2.15789473684211</v>
      </c>
      <c r="M8" s="9" t="n">
        <f aca="false">Polymarket!B39</f>
        <v>0.584014160754065</v>
      </c>
      <c r="N8" s="8" t="n">
        <f aca="false">Polymarket!B40</f>
        <v>1.54385964912281</v>
      </c>
      <c r="O8" s="8" t="n">
        <f aca="false">Polymarket!C40</f>
        <v>7.57894736842105</v>
      </c>
    </row>
    <row r="9" customFormat="false" ht="23.85" hidden="false" customHeight="false" outlineLevel="0" collapsed="false">
      <c r="A9" s="4" t="s">
        <v>33</v>
      </c>
      <c r="B9" s="5" t="s">
        <v>34</v>
      </c>
      <c r="C9" s="5" t="s">
        <v>35</v>
      </c>
      <c r="D9" s="6" t="n">
        <f aca="false">Kalshi!B6</f>
        <v>22</v>
      </c>
      <c r="E9" s="6" t="n">
        <f aca="false">Kalshi!B7</f>
        <v>22</v>
      </c>
      <c r="F9" s="6" t="n">
        <f aca="false">Kalshi!B10</f>
        <v>30</v>
      </c>
      <c r="G9" s="6" t="n">
        <f aca="false">Kalshi!B11</f>
        <v>40</v>
      </c>
      <c r="H9" s="6" t="n">
        <f aca="false">Kalshi!B12</f>
        <v>35</v>
      </c>
      <c r="I9" s="7" t="s">
        <v>36</v>
      </c>
      <c r="J9" s="6" t="n">
        <f aca="false">Kalshi!B36</f>
        <v>75</v>
      </c>
      <c r="K9" s="8" t="n">
        <f aca="false">Kalshi!B37</f>
        <v>2.14285714285714</v>
      </c>
      <c r="L9" s="9" t="n">
        <f aca="false">Kalshi!B38</f>
        <v>1.14285714285714</v>
      </c>
      <c r="M9" s="9" t="n">
        <f aca="false">Kalshi!B39</f>
        <v>0.4638501094228</v>
      </c>
      <c r="N9" s="8" t="n">
        <f aca="false">Kalshi!B40</f>
        <v>1.14285714285714</v>
      </c>
      <c r="O9" s="8" t="n">
        <f aca="false">Kalshi!C40</f>
        <v>4.28571428571429</v>
      </c>
    </row>
    <row r="10" customFormat="false" ht="35.05" hidden="false" customHeight="false" outlineLevel="0" collapsed="false">
      <c r="A10" s="4" t="s">
        <v>37</v>
      </c>
      <c r="B10" s="5" t="s">
        <v>38</v>
      </c>
      <c r="C10" s="5" t="s">
        <v>39</v>
      </c>
      <c r="D10" s="6" t="n">
        <f aca="false">'Positron AI'!B6</f>
        <v>1</v>
      </c>
      <c r="E10" s="6" t="n">
        <f aca="false">'Positron AI'!B7</f>
        <v>3.5</v>
      </c>
      <c r="F10" s="6" t="n">
        <f aca="false">'Positron AI'!B10</f>
        <v>4.5</v>
      </c>
      <c r="G10" s="6" t="n">
        <f aca="false">'Positron AI'!B11</f>
        <v>5</v>
      </c>
      <c r="H10" s="6" t="n">
        <f aca="false">'Positron AI'!B12</f>
        <v>4.75</v>
      </c>
      <c r="I10" s="7" t="s">
        <v>40</v>
      </c>
      <c r="J10" s="6" t="n">
        <f aca="false">'Positron AI'!B36</f>
        <v>24</v>
      </c>
      <c r="K10" s="8" t="n">
        <f aca="false">'Positron AI'!B37</f>
        <v>5.05263157894737</v>
      </c>
      <c r="L10" s="9" t="n">
        <f aca="false">'Positron AI'!B38</f>
        <v>4.05263157894737</v>
      </c>
      <c r="M10" s="9" t="n">
        <f aca="false">'Positron AI'!B39</f>
        <v>0.588565175565576</v>
      </c>
      <c r="N10" s="8" t="n">
        <f aca="false">'Positron AI'!B40</f>
        <v>1.05263157894737</v>
      </c>
      <c r="O10" s="8" t="n">
        <f aca="false">'Positron AI'!C40</f>
        <v>8.42105263157895</v>
      </c>
    </row>
    <row r="11" customFormat="false" ht="23.85" hidden="false" customHeight="false" outlineLevel="0" collapsed="false">
      <c r="A11" s="4" t="s">
        <v>41</v>
      </c>
      <c r="B11" s="5" t="s">
        <v>42</v>
      </c>
      <c r="C11" s="5" t="s">
        <v>43</v>
      </c>
      <c r="D11" s="6" t="n">
        <f aca="false">Databricks!B6</f>
        <v>190</v>
      </c>
      <c r="E11" s="6" t="n">
        <f aca="false">Databricks!B7</f>
        <v>190</v>
      </c>
      <c r="F11" s="6" t="n">
        <f aca="false">Databricks!B10</f>
        <v>195</v>
      </c>
      <c r="G11" s="6" t="n">
        <f aca="false">Databricks!B11</f>
        <v>210</v>
      </c>
      <c r="H11" s="6" t="n">
        <f aca="false">Databricks!B12</f>
        <v>202.5</v>
      </c>
      <c r="I11" s="7" t="s">
        <v>36</v>
      </c>
      <c r="J11" s="6" t="n">
        <f aca="false">Databricks!B36</f>
        <v>425</v>
      </c>
      <c r="K11" s="8" t="n">
        <f aca="false">Databricks!B37</f>
        <v>2.09876543209877</v>
      </c>
      <c r="L11" s="9" t="n">
        <f aca="false">Databricks!B38</f>
        <v>1.09876543209877</v>
      </c>
      <c r="M11" s="9" t="n">
        <f aca="false">Databricks!B39</f>
        <v>0.448711645600589</v>
      </c>
      <c r="N11" s="8" t="n">
        <f aca="false">Databricks!B40</f>
        <v>0.938271604938272</v>
      </c>
      <c r="O11" s="8" t="n">
        <f aca="false">Databricks!C40</f>
        <v>3.08641975308642</v>
      </c>
    </row>
    <row r="12" customFormat="false" ht="35.05" hidden="false" customHeight="false" outlineLevel="0" collapsed="false">
      <c r="A12" s="4" t="s">
        <v>44</v>
      </c>
      <c r="B12" s="5" t="s">
        <v>45</v>
      </c>
      <c r="C12" s="5" t="s">
        <v>46</v>
      </c>
      <c r="D12" s="6" t="n">
        <f aca="false">'VAST Data'!B6</f>
        <v>30</v>
      </c>
      <c r="E12" s="6" t="n">
        <f aca="false">'VAST Data'!B7</f>
        <v>30</v>
      </c>
      <c r="F12" s="6" t="n">
        <f aca="false">'VAST Data'!B10</f>
        <v>23</v>
      </c>
      <c r="G12" s="6" t="n">
        <f aca="false">'VAST Data'!B11</f>
        <v>28</v>
      </c>
      <c r="H12" s="6" t="n">
        <f aca="false">'VAST Data'!B12</f>
        <v>25.5</v>
      </c>
      <c r="I12" s="7" t="s">
        <v>47</v>
      </c>
      <c r="J12" s="6" t="n">
        <f aca="false">'VAST Data'!B36</f>
        <v>60</v>
      </c>
      <c r="K12" s="8" t="n">
        <f aca="false">'VAST Data'!B37</f>
        <v>2.35294117647059</v>
      </c>
      <c r="L12" s="9" t="n">
        <f aca="false">'VAST Data'!B38</f>
        <v>1.35294117647059</v>
      </c>
      <c r="M12" s="9" t="n">
        <f aca="false">'VAST Data'!B39</f>
        <v>0.408135436805908</v>
      </c>
      <c r="N12" s="8" t="n">
        <f aca="false">'VAST Data'!B40</f>
        <v>1.17647058823529</v>
      </c>
      <c r="O12" s="8" t="n">
        <f aca="false">'VAST Data'!C40</f>
        <v>4.3921568627451</v>
      </c>
    </row>
    <row r="13" customFormat="false" ht="35.05" hidden="false" customHeight="false" outlineLevel="0" collapsed="false">
      <c r="A13" s="4" t="s">
        <v>48</v>
      </c>
      <c r="B13" s="5" t="s">
        <v>49</v>
      </c>
      <c r="C13" s="5" t="s">
        <v>50</v>
      </c>
      <c r="D13" s="6" t="n">
        <f aca="false">ByteDance!B6</f>
        <v>425</v>
      </c>
      <c r="E13" s="6" t="n">
        <f aca="false">ByteDance!B7</f>
        <v>425</v>
      </c>
      <c r="F13" s="6" t="n">
        <f aca="false">ByteDance!B10</f>
        <v>590</v>
      </c>
      <c r="G13" s="6" t="n">
        <f aca="false">ByteDance!B11</f>
        <v>610</v>
      </c>
      <c r="H13" s="6" t="n">
        <f aca="false">ByteDance!B12</f>
        <v>600</v>
      </c>
      <c r="I13" s="7" t="s">
        <v>51</v>
      </c>
      <c r="J13" s="6" t="n">
        <f aca="false">ByteDance!B36</f>
        <v>850</v>
      </c>
      <c r="K13" s="8" t="n">
        <f aca="false">ByteDance!B37</f>
        <v>1.41666666666667</v>
      </c>
      <c r="L13" s="9" t="n">
        <f aca="false">ByteDance!B38</f>
        <v>0.416666666666667</v>
      </c>
      <c r="M13" s="9" t="n">
        <f aca="false">ByteDance!B39</f>
        <v>0.190238071423808</v>
      </c>
      <c r="N13" s="8" t="n">
        <f aca="false">ByteDance!B40</f>
        <v>1</v>
      </c>
      <c r="O13" s="8" t="n">
        <f aca="false">ByteDance!C40</f>
        <v>2.1</v>
      </c>
    </row>
    <row r="14" customFormat="false" ht="23.85" hidden="false" customHeight="false" outlineLevel="0" collapsed="false">
      <c r="A14" s="4" t="s">
        <v>52</v>
      </c>
      <c r="B14" s="5" t="s">
        <v>53</v>
      </c>
      <c r="C14" s="5" t="s">
        <v>54</v>
      </c>
      <c r="D14" s="6" t="n">
        <f aca="false">Glean!B6</f>
        <v>7.2</v>
      </c>
      <c r="E14" s="6" t="n">
        <f aca="false">Glean!B7</f>
        <v>7.2</v>
      </c>
      <c r="F14" s="6" t="n">
        <f aca="false">Glean!B10</f>
        <v>6.5</v>
      </c>
      <c r="G14" s="6" t="n">
        <f aca="false">Glean!B11</f>
        <v>7</v>
      </c>
      <c r="H14" s="6" t="n">
        <f aca="false">Glean!B12</f>
        <v>6.75</v>
      </c>
      <c r="I14" s="7" t="s">
        <v>47</v>
      </c>
      <c r="J14" s="6" t="n">
        <f aca="false">Glean!B36</f>
        <v>18</v>
      </c>
      <c r="K14" s="8" t="n">
        <f aca="false">Glean!B37</f>
        <v>2.66666666666667</v>
      </c>
      <c r="L14" s="9" t="n">
        <f aca="false">Glean!B38</f>
        <v>1.66666666666667</v>
      </c>
      <c r="M14" s="9" t="n">
        <f aca="false">Glean!B39</f>
        <v>0.480428689948613</v>
      </c>
      <c r="N14" s="8" t="n">
        <f aca="false">Glean!B40</f>
        <v>1.06666666666667</v>
      </c>
      <c r="O14" s="8" t="n">
        <f aca="false">Glean!C40</f>
        <v>5.55555555555556</v>
      </c>
    </row>
    <row r="15" customFormat="false" ht="23.85" hidden="false" customHeight="false" outlineLevel="0" collapsed="false">
      <c r="A15" s="4" t="s">
        <v>55</v>
      </c>
      <c r="B15" s="5" t="s">
        <v>56</v>
      </c>
      <c r="C15" s="5" t="s">
        <v>57</v>
      </c>
      <c r="D15" s="6" t="n">
        <f aca="false">Lightmatter!B6</f>
        <v>4.4</v>
      </c>
      <c r="E15" s="6" t="n">
        <f aca="false">Lightmatter!B7</f>
        <v>4.4</v>
      </c>
      <c r="F15" s="6" t="n">
        <f aca="false">Lightmatter!B10</f>
        <v>4.4</v>
      </c>
      <c r="G15" s="6" t="n">
        <f aca="false">Lightmatter!B11</f>
        <v>4.8</v>
      </c>
      <c r="H15" s="6" t="n">
        <f aca="false">Lightmatter!B12</f>
        <v>4.6</v>
      </c>
      <c r="I15" s="7" t="s">
        <v>40</v>
      </c>
      <c r="J15" s="6" t="n">
        <f aca="false">Lightmatter!B36</f>
        <v>14</v>
      </c>
      <c r="K15" s="8" t="n">
        <f aca="false">Lightmatter!B37</f>
        <v>3.04347826086957</v>
      </c>
      <c r="L15" s="9" t="n">
        <f aca="false">Lightmatter!B38</f>
        <v>2.04347826086957</v>
      </c>
      <c r="M15" s="9" t="n">
        <f aca="false">Lightmatter!B39</f>
        <v>0.374376664163408</v>
      </c>
      <c r="N15" s="8" t="n">
        <f aca="false">Lightmatter!B40</f>
        <v>0.869565217391304</v>
      </c>
      <c r="O15" s="8" t="n">
        <f aca="false">Lightmatter!C40</f>
        <v>9.78260869565217</v>
      </c>
    </row>
    <row r="16" customFormat="false" ht="35.05" hidden="false" customHeight="false" outlineLevel="0" collapsed="false">
      <c r="A16" s="4" t="s">
        <v>58</v>
      </c>
      <c r="B16" s="5" t="s">
        <v>59</v>
      </c>
      <c r="C16" s="5" t="s">
        <v>60</v>
      </c>
      <c r="D16" s="6" t="n">
        <f aca="false">PsiQuantum!B6</f>
        <v>7</v>
      </c>
      <c r="E16" s="6" t="n">
        <f aca="false">PsiQuantum!B7</f>
        <v>7</v>
      </c>
      <c r="F16" s="6" t="n">
        <f aca="false">PsiQuantum!B10</f>
        <v>7.56</v>
      </c>
      <c r="G16" s="6" t="n">
        <f aca="false">PsiQuantum!B11</f>
        <v>8.05</v>
      </c>
      <c r="H16" s="6" t="n">
        <f aca="false">PsiQuantum!B12</f>
        <v>7.805</v>
      </c>
      <c r="I16" s="7" t="s">
        <v>61</v>
      </c>
      <c r="J16" s="6" t="n">
        <f aca="false">PsiQuantum!B36</f>
        <v>30</v>
      </c>
      <c r="K16" s="8" t="n">
        <f aca="false">PsiQuantum!B37</f>
        <v>3.84368994234465</v>
      </c>
      <c r="L16" s="9" t="n">
        <f aca="false">PsiQuantum!B38</f>
        <v>2.84368994234465</v>
      </c>
      <c r="M16" s="9" t="n">
        <f aca="false">PsiQuantum!B39</f>
        <v>0.348789191809236</v>
      </c>
      <c r="N16" s="8" t="n">
        <f aca="false">PsiQuantum!B40</f>
        <v>0.960922485586163</v>
      </c>
      <c r="O16" s="8" t="n">
        <f aca="false">PsiQuantum!C40</f>
        <v>11.2107623318386</v>
      </c>
    </row>
    <row r="18" customFormat="false" ht="15" hidden="false" customHeight="false" outlineLevel="0" collapsed="false">
      <c r="A18" s="2" t="s">
        <v>62</v>
      </c>
    </row>
    <row r="19" customFormat="false" ht="15" hidden="false" customHeight="false" outlineLevel="0" collapsed="false">
      <c r="A19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5"/>
  </cols>
  <sheetData>
    <row r="1" customFormat="false" ht="17.35" hidden="false" customHeight="false" outlineLevel="0" collapsed="false">
      <c r="A1" s="1" t="s">
        <v>64</v>
      </c>
    </row>
    <row r="3" customFormat="false" ht="45.75" hidden="false" customHeight="true" outlineLevel="0" collapsed="false">
      <c r="A3" s="10" t="s">
        <v>5</v>
      </c>
      <c r="B3" s="11" t="s">
        <v>65</v>
      </c>
    </row>
    <row r="4" customFormat="false" ht="45.75" hidden="false" customHeight="true" outlineLevel="0" collapsed="false">
      <c r="A4" s="10" t="s">
        <v>66</v>
      </c>
      <c r="B4" s="11" t="s">
        <v>67</v>
      </c>
    </row>
    <row r="5" customFormat="false" ht="45.75" hidden="false" customHeight="true" outlineLevel="0" collapsed="false">
      <c r="A5" s="10" t="s">
        <v>68</v>
      </c>
      <c r="B5" s="11" t="s">
        <v>69</v>
      </c>
    </row>
    <row r="6" customFormat="false" ht="45.75" hidden="false" customHeight="true" outlineLevel="0" collapsed="false">
      <c r="A6" s="10" t="s">
        <v>70</v>
      </c>
      <c r="B6" s="11" t="s">
        <v>71</v>
      </c>
    </row>
    <row r="7" customFormat="false" ht="45.75" hidden="false" customHeight="true" outlineLevel="0" collapsed="false">
      <c r="A7" s="10" t="s">
        <v>72</v>
      </c>
      <c r="B7" s="11" t="s">
        <v>73</v>
      </c>
    </row>
    <row r="8" customFormat="false" ht="45.75" hidden="false" customHeight="true" outlineLevel="0" collapsed="false">
      <c r="A8" s="10" t="s">
        <v>74</v>
      </c>
      <c r="B8" s="11" t="s">
        <v>75</v>
      </c>
    </row>
    <row r="9" customFormat="false" ht="45.75" hidden="false" customHeight="true" outlineLevel="0" collapsed="false">
      <c r="A9" s="10" t="s">
        <v>76</v>
      </c>
      <c r="B9" s="11" t="s">
        <v>77</v>
      </c>
    </row>
    <row r="10" customFormat="false" ht="45.75" hidden="false" customHeight="true" outlineLevel="0" collapsed="false">
      <c r="A10" s="10" t="s">
        <v>78</v>
      </c>
      <c r="B10" s="11" t="s">
        <v>79</v>
      </c>
    </row>
    <row r="11" customFormat="false" ht="45.75" hidden="false" customHeight="true" outlineLevel="0" collapsed="false">
      <c r="A11" s="10" t="s">
        <v>80</v>
      </c>
      <c r="B11" s="11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36"/>
    <col collapsed="false" customWidth="true" hidden="false" outlineLevel="0" max="9" min="5" style="0" width="13"/>
  </cols>
  <sheetData>
    <row r="1" customFormat="false" ht="17.35" hidden="false" customHeight="false" outlineLevel="0" collapsed="false">
      <c r="A1" s="1" t="s">
        <v>17</v>
      </c>
    </row>
    <row r="2" customFormat="false" ht="15" hidden="false" customHeight="false" outlineLevel="0" collapsed="false">
      <c r="A2" s="12" t="s">
        <v>18</v>
      </c>
    </row>
    <row r="4" customFormat="false" ht="15" hidden="false" customHeight="false" outlineLevel="0" collapsed="false">
      <c r="A4" s="13" t="s">
        <v>82</v>
      </c>
      <c r="B4" s="13"/>
      <c r="C4" s="13"/>
      <c r="D4" s="13"/>
      <c r="E4" s="13"/>
      <c r="F4" s="13"/>
      <c r="G4" s="13"/>
      <c r="H4" s="13"/>
      <c r="I4" s="13"/>
    </row>
    <row r="5" customFormat="false" ht="15" hidden="false" customHeight="false" outlineLevel="0" collapsed="false">
      <c r="A5" s="14" t="s">
        <v>83</v>
      </c>
      <c r="B5" s="14" t="s">
        <v>19</v>
      </c>
    </row>
    <row r="6" customFormat="false" ht="15" hidden="false" customHeight="false" outlineLevel="0" collapsed="false">
      <c r="A6" s="14" t="s">
        <v>84</v>
      </c>
      <c r="B6" s="15" t="n">
        <v>852</v>
      </c>
    </row>
    <row r="7" customFormat="false" ht="15" hidden="false" customHeight="false" outlineLevel="0" collapsed="false">
      <c r="A7" s="14" t="s">
        <v>85</v>
      </c>
      <c r="B7" s="15" t="n">
        <v>852</v>
      </c>
    </row>
    <row r="8" customFormat="false" ht="15" hidden="false" customHeight="false" outlineLevel="0" collapsed="false">
      <c r="A8" s="14" t="s">
        <v>86</v>
      </c>
      <c r="B8" s="16" t="n">
        <v>0.08</v>
      </c>
    </row>
    <row r="9" customFormat="false" ht="15" hidden="false" customHeight="false" outlineLevel="0" collapsed="false">
      <c r="A9" s="14" t="s">
        <v>87</v>
      </c>
      <c r="B9" s="16" t="n">
        <v>0.15</v>
      </c>
    </row>
    <row r="10" customFormat="false" ht="15" hidden="false" customHeight="false" outlineLevel="0" collapsed="false">
      <c r="A10" s="14" t="s">
        <v>88</v>
      </c>
      <c r="B10" s="17" t="n">
        <f aca="false">B7*(1+B8)</f>
        <v>920.16</v>
      </c>
    </row>
    <row r="11" customFormat="false" ht="15" hidden="false" customHeight="false" outlineLevel="0" collapsed="false">
      <c r="A11" s="14" t="s">
        <v>89</v>
      </c>
      <c r="B11" s="17" t="n">
        <f aca="false">B7*(1+B9)</f>
        <v>979.8</v>
      </c>
    </row>
    <row r="12" customFormat="false" ht="15" hidden="false" customHeight="false" outlineLevel="0" collapsed="false">
      <c r="A12" s="14" t="s">
        <v>90</v>
      </c>
      <c r="B12" s="17" t="n">
        <f aca="false">AVERAGE(B10:B11)</f>
        <v>949.98</v>
      </c>
    </row>
    <row r="13" customFormat="false" ht="42" hidden="false" customHeight="true" outlineLevel="0" collapsed="false">
      <c r="A13" s="14" t="s">
        <v>91</v>
      </c>
      <c r="B13" s="18" t="s">
        <v>92</v>
      </c>
    </row>
    <row r="15" customFormat="false" ht="15" hidden="false" customHeight="false" outlineLevel="0" collapsed="false">
      <c r="A15" s="13" t="s">
        <v>93</v>
      </c>
      <c r="B15" s="13"/>
      <c r="C15" s="13"/>
      <c r="D15" s="13"/>
      <c r="E15" s="13"/>
      <c r="F15" s="13"/>
      <c r="G15" s="13"/>
      <c r="H15" s="13"/>
      <c r="I15" s="13"/>
    </row>
    <row r="16" customFormat="false" ht="15" hidden="false" customHeight="false" outlineLevel="0" collapsed="false">
      <c r="A16" s="19" t="s">
        <v>2</v>
      </c>
      <c r="B16" s="19" t="s">
        <v>94</v>
      </c>
      <c r="C16" s="19" t="s">
        <v>95</v>
      </c>
    </row>
    <row r="17" customFormat="false" ht="15" hidden="false" customHeight="false" outlineLevel="0" collapsed="false">
      <c r="A17" s="20" t="s">
        <v>96</v>
      </c>
      <c r="B17" s="21" t="n">
        <v>10.5</v>
      </c>
      <c r="C17" s="22" t="s">
        <v>97</v>
      </c>
    </row>
    <row r="18" customFormat="false" ht="15" hidden="false" customHeight="false" outlineLevel="0" collapsed="false">
      <c r="A18" s="20" t="s">
        <v>98</v>
      </c>
      <c r="B18" s="21" t="n">
        <v>24.7</v>
      </c>
      <c r="C18" s="22" t="s">
        <v>99</v>
      </c>
    </row>
    <row r="19" customFormat="false" ht="15" hidden="false" customHeight="false" outlineLevel="0" collapsed="false">
      <c r="A19" s="20" t="s">
        <v>100</v>
      </c>
      <c r="B19" s="21" t="n">
        <v>9.4</v>
      </c>
      <c r="C19" s="22" t="s">
        <v>99</v>
      </c>
    </row>
    <row r="20" customFormat="false" ht="15" hidden="false" customHeight="false" outlineLevel="0" collapsed="false">
      <c r="A20" s="20" t="s">
        <v>101</v>
      </c>
      <c r="B20" s="21" t="n">
        <v>7</v>
      </c>
      <c r="C20" s="22" t="s">
        <v>99</v>
      </c>
    </row>
    <row r="21" customFormat="false" ht="15" hidden="false" customHeight="false" outlineLevel="0" collapsed="false">
      <c r="A21" s="20" t="s">
        <v>102</v>
      </c>
      <c r="B21" s="21" t="n">
        <v>61</v>
      </c>
      <c r="C21" s="22" t="s">
        <v>103</v>
      </c>
    </row>
    <row r="23" customFormat="false" ht="15" hidden="false" customHeight="false" outlineLevel="0" collapsed="false">
      <c r="A23" s="13" t="s">
        <v>104</v>
      </c>
      <c r="B23" s="13"/>
      <c r="C23" s="13"/>
      <c r="D23" s="13"/>
      <c r="E23" s="13"/>
      <c r="F23" s="13"/>
      <c r="G23" s="13"/>
      <c r="H23" s="13"/>
      <c r="I23" s="13"/>
    </row>
    <row r="24" customFormat="false" ht="30" hidden="false" customHeight="true" outlineLevel="0" collapsed="false">
      <c r="A24" s="3" t="s">
        <v>105</v>
      </c>
      <c r="B24" s="3" t="s">
        <v>106</v>
      </c>
      <c r="C24" s="3" t="s">
        <v>107</v>
      </c>
      <c r="D24" s="3" t="s">
        <v>108</v>
      </c>
      <c r="E24" s="3" t="s">
        <v>109</v>
      </c>
      <c r="F24" s="3" t="s">
        <v>110</v>
      </c>
      <c r="G24" s="3" t="s">
        <v>111</v>
      </c>
      <c r="H24" s="3" t="s">
        <v>112</v>
      </c>
      <c r="I24" s="3" t="s">
        <v>113</v>
      </c>
    </row>
    <row r="25" customFormat="false" ht="15" hidden="false" customHeight="false" outlineLevel="0" collapsed="false">
      <c r="A25" s="20" t="s">
        <v>114</v>
      </c>
      <c r="B25" s="23" t="s">
        <v>115</v>
      </c>
      <c r="C25" s="24" t="n">
        <v>1.5</v>
      </c>
      <c r="D25" s="25" t="n">
        <v>62</v>
      </c>
      <c r="E25" s="26" t="n">
        <v>18</v>
      </c>
      <c r="F25" s="27" t="n">
        <f aca="false">D25*E25</f>
        <v>1116</v>
      </c>
      <c r="G25" s="28" t="n">
        <f aca="false">F25/B12</f>
        <v>1.17476157392787</v>
      </c>
      <c r="H25" s="29" t="n">
        <f aca="false">G25-1</f>
        <v>0.174761573927872</v>
      </c>
      <c r="I25" s="29" t="n">
        <f aca="false">G25^(1/C25)-1</f>
        <v>0.113353695435497</v>
      </c>
    </row>
    <row r="26" customFormat="false" ht="15" hidden="false" customHeight="false" outlineLevel="0" collapsed="false">
      <c r="A26" s="20" t="s">
        <v>116</v>
      </c>
      <c r="B26" s="23" t="s">
        <v>117</v>
      </c>
      <c r="C26" s="24" t="n">
        <v>2</v>
      </c>
      <c r="D26" s="25" t="n">
        <v>110</v>
      </c>
      <c r="E26" s="26" t="n">
        <v>15</v>
      </c>
      <c r="F26" s="27" t="n">
        <f aca="false">D26*E26</f>
        <v>1650</v>
      </c>
      <c r="G26" s="28" t="n">
        <f aca="false">F26/B12</f>
        <v>1.73687867112992</v>
      </c>
      <c r="H26" s="29" t="n">
        <f aca="false">G26-1</f>
        <v>0.736878671129918</v>
      </c>
      <c r="I26" s="29" t="n">
        <f aca="false">G26^(1/C26)-1</f>
        <v>0.31790692809846</v>
      </c>
    </row>
    <row r="27" customFormat="false" ht="15" hidden="false" customHeight="false" outlineLevel="0" collapsed="false">
      <c r="A27" s="20" t="s">
        <v>118</v>
      </c>
      <c r="B27" s="23" t="s">
        <v>117</v>
      </c>
      <c r="C27" s="24" t="n">
        <v>2</v>
      </c>
      <c r="D27" s="25" t="n">
        <v>110</v>
      </c>
      <c r="E27" s="26" t="n">
        <v>28</v>
      </c>
      <c r="F27" s="27" t="n">
        <f aca="false">D27*E27</f>
        <v>3080</v>
      </c>
      <c r="G27" s="28" t="n">
        <f aca="false">F27/B12</f>
        <v>3.24217351944251</v>
      </c>
      <c r="H27" s="29" t="n">
        <f aca="false">G27-1</f>
        <v>2.24217351944251</v>
      </c>
      <c r="I27" s="29" t="n">
        <f aca="false">G27^(1/C27)-1</f>
        <v>0.80060365417893</v>
      </c>
    </row>
    <row r="28" customFormat="false" ht="30" hidden="false" customHeight="true" outlineLevel="0" collapsed="false">
      <c r="A28" s="18" t="s">
        <v>119</v>
      </c>
    </row>
    <row r="30" customFormat="false" ht="15" hidden="false" customHeight="false" outlineLevel="0" collapsed="false">
      <c r="A30" s="13" t="s">
        <v>120</v>
      </c>
      <c r="B30" s="13"/>
      <c r="C30" s="13"/>
      <c r="D30" s="13"/>
      <c r="E30" s="13"/>
      <c r="F30" s="13"/>
      <c r="G30" s="13"/>
      <c r="H30" s="13"/>
      <c r="I30" s="13"/>
    </row>
    <row r="31" customFormat="false" ht="30" hidden="false" customHeight="true" outlineLevel="0" collapsed="false">
      <c r="A31" s="3" t="s">
        <v>105</v>
      </c>
      <c r="B31" s="3" t="s">
        <v>106</v>
      </c>
      <c r="C31" s="3" t="s">
        <v>107</v>
      </c>
      <c r="D31" s="3" t="s">
        <v>121</v>
      </c>
      <c r="E31" s="3" t="s">
        <v>110</v>
      </c>
      <c r="F31" s="3" t="s">
        <v>111</v>
      </c>
      <c r="G31" s="3" t="s">
        <v>112</v>
      </c>
      <c r="H31" s="3" t="s">
        <v>113</v>
      </c>
    </row>
    <row r="32" customFormat="false" ht="23.85" hidden="false" customHeight="false" outlineLevel="0" collapsed="false">
      <c r="A32" s="20" t="s">
        <v>114</v>
      </c>
      <c r="B32" s="23" t="s">
        <v>115</v>
      </c>
      <c r="C32" s="24" t="n">
        <v>1.5</v>
      </c>
      <c r="D32" s="5" t="s">
        <v>122</v>
      </c>
      <c r="E32" s="25" t="n">
        <v>1000</v>
      </c>
      <c r="F32" s="28" t="n">
        <f aca="false">E32/B12</f>
        <v>1.05265374007874</v>
      </c>
      <c r="G32" s="29" t="n">
        <f aca="false">F32-1</f>
        <v>0.0526537400787386</v>
      </c>
      <c r="H32" s="29" t="n">
        <f aca="false">F32^(1/C32)-1</f>
        <v>0.0348014419921376</v>
      </c>
    </row>
    <row r="33" customFormat="false" ht="15" hidden="false" customHeight="false" outlineLevel="0" collapsed="false">
      <c r="A33" s="20" t="s">
        <v>116</v>
      </c>
      <c r="B33" s="23" t="s">
        <v>117</v>
      </c>
      <c r="C33" s="24" t="n">
        <v>2</v>
      </c>
      <c r="D33" s="5" t="s">
        <v>123</v>
      </c>
      <c r="E33" s="25" t="n">
        <v>1550</v>
      </c>
      <c r="F33" s="28" t="n">
        <f aca="false">E33/B12</f>
        <v>1.63161329712204</v>
      </c>
      <c r="G33" s="29" t="n">
        <f aca="false">F33-1</f>
        <v>0.631613297122045</v>
      </c>
      <c r="H33" s="29" t="n">
        <f aca="false">F33^(1/C33)-1</f>
        <v>0.277346193137179</v>
      </c>
    </row>
    <row r="34" customFormat="false" ht="15" hidden="false" customHeight="false" outlineLevel="0" collapsed="false">
      <c r="A34" s="20" t="s">
        <v>118</v>
      </c>
      <c r="B34" s="23" t="s">
        <v>117</v>
      </c>
      <c r="C34" s="24" t="n">
        <v>2</v>
      </c>
      <c r="D34" s="5" t="s">
        <v>124</v>
      </c>
      <c r="E34" s="25" t="n">
        <v>2200</v>
      </c>
      <c r="F34" s="28" t="n">
        <f aca="false">E34/B12</f>
        <v>2.31583822817322</v>
      </c>
      <c r="G34" s="29" t="n">
        <f aca="false">F34-1</f>
        <v>1.31583822817322</v>
      </c>
      <c r="H34" s="29" t="n">
        <f aca="false">F34^(1/C34)-1</f>
        <v>0.521787839409037</v>
      </c>
    </row>
    <row r="35" customFormat="false" ht="15" hidden="false" customHeight="false" outlineLevel="0" collapsed="false">
      <c r="A35" s="13" t="s">
        <v>125</v>
      </c>
      <c r="B35" s="13"/>
      <c r="C35" s="13"/>
      <c r="D35" s="13"/>
      <c r="E35" s="13"/>
      <c r="F35" s="13"/>
      <c r="G35" s="13"/>
      <c r="H35" s="13"/>
      <c r="I35" s="13"/>
    </row>
    <row r="36" customFormat="false" ht="15" hidden="false" customHeight="false" outlineLevel="0" collapsed="false">
      <c r="A36" s="14" t="s">
        <v>126</v>
      </c>
      <c r="B36" s="17" t="n">
        <f aca="false">AVERAGE(F26,E33)</f>
        <v>1600</v>
      </c>
    </row>
    <row r="37" customFormat="false" ht="15" hidden="false" customHeight="false" outlineLevel="0" collapsed="false">
      <c r="A37" s="14" t="s">
        <v>12</v>
      </c>
      <c r="B37" s="30" t="n">
        <f aca="false">B36/B12</f>
        <v>1.68424598412598</v>
      </c>
    </row>
    <row r="38" customFormat="false" ht="15" hidden="false" customHeight="false" outlineLevel="0" collapsed="false">
      <c r="A38" s="14" t="s">
        <v>13</v>
      </c>
      <c r="B38" s="31" t="n">
        <f aca="false">B37-1</f>
        <v>0.684245984125982</v>
      </c>
    </row>
    <row r="39" customFormat="false" ht="15" hidden="false" customHeight="false" outlineLevel="0" collapsed="false">
      <c r="A39" s="14" t="s">
        <v>127</v>
      </c>
      <c r="B39" s="31" t="n">
        <f aca="false">B37^(1/C26)-1</f>
        <v>0.297785030013053</v>
      </c>
    </row>
    <row r="40" customFormat="false" ht="15" hidden="false" customHeight="false" outlineLevel="0" collapsed="false">
      <c r="A40" s="14" t="s">
        <v>128</v>
      </c>
      <c r="B40" s="30" t="n">
        <f aca="false">MIN(G25,F32)</f>
        <v>1.05265374007874</v>
      </c>
      <c r="C40" s="30" t="n">
        <f aca="false">MAX(G27,F34)</f>
        <v>3.24217351944251</v>
      </c>
    </row>
    <row r="41" customFormat="false" ht="15" hidden="false" customHeight="false" outlineLevel="0" collapsed="false">
      <c r="A41" s="14" t="s">
        <v>129</v>
      </c>
      <c r="B41" s="30" t="n">
        <f aca="false">B36/B11</f>
        <v>1.63298632373954</v>
      </c>
    </row>
    <row r="43" customFormat="false" ht="15" hidden="false" customHeight="false" outlineLevel="0" collapsed="false">
      <c r="A43" s="13" t="s">
        <v>130</v>
      </c>
      <c r="B43" s="13"/>
      <c r="C43" s="13"/>
      <c r="D43" s="13"/>
      <c r="E43" s="13"/>
      <c r="F43" s="13"/>
      <c r="G43" s="13"/>
      <c r="H43" s="13"/>
      <c r="I43" s="13"/>
    </row>
    <row r="44" customFormat="false" ht="15" hidden="false" customHeight="false" outlineLevel="0" collapsed="false">
      <c r="A44" s="2" t="s">
        <v>131</v>
      </c>
    </row>
    <row r="45" customFormat="false" ht="15" hidden="false" customHeight="false" outlineLevel="0" collapsed="false">
      <c r="A45" s="2" t="s">
        <v>132</v>
      </c>
    </row>
    <row r="46" customFormat="false" ht="15" hidden="false" customHeight="false" outlineLevel="0" collapsed="false">
      <c r="A46" s="2" t="s">
        <v>133</v>
      </c>
    </row>
    <row r="47" customFormat="false" ht="15" hidden="false" customHeight="false" outlineLevel="0" collapsed="false">
      <c r="A47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36"/>
    <col collapsed="false" customWidth="true" hidden="false" outlineLevel="0" max="9" min="5" style="0" width="13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12" t="s">
        <v>22</v>
      </c>
    </row>
    <row r="4" customFormat="false" ht="15" hidden="false" customHeight="false" outlineLevel="0" collapsed="false">
      <c r="A4" s="13" t="s">
        <v>82</v>
      </c>
      <c r="B4" s="13"/>
      <c r="C4" s="13"/>
      <c r="D4" s="13"/>
      <c r="E4" s="13"/>
      <c r="F4" s="13"/>
      <c r="G4" s="13"/>
      <c r="H4" s="13"/>
      <c r="I4" s="13"/>
    </row>
    <row r="5" customFormat="false" ht="15" hidden="false" customHeight="false" outlineLevel="0" collapsed="false">
      <c r="A5" s="14" t="s">
        <v>83</v>
      </c>
      <c r="B5" s="14" t="s">
        <v>23</v>
      </c>
    </row>
    <row r="6" customFormat="false" ht="15" hidden="false" customHeight="false" outlineLevel="0" collapsed="false">
      <c r="A6" s="14" t="s">
        <v>84</v>
      </c>
      <c r="B6" s="15" t="n">
        <v>39</v>
      </c>
    </row>
    <row r="7" customFormat="false" ht="15" hidden="false" customHeight="false" outlineLevel="0" collapsed="false">
      <c r="A7" s="14" t="s">
        <v>85</v>
      </c>
      <c r="B7" s="15" t="n">
        <v>39</v>
      </c>
    </row>
    <row r="8" customFormat="false" ht="15" hidden="false" customHeight="false" outlineLevel="0" collapsed="false">
      <c r="A8" s="14" t="s">
        <v>86</v>
      </c>
      <c r="B8" s="16" t="n">
        <v>0.08</v>
      </c>
    </row>
    <row r="9" customFormat="false" ht="15" hidden="false" customHeight="false" outlineLevel="0" collapsed="false">
      <c r="A9" s="14" t="s">
        <v>87</v>
      </c>
      <c r="B9" s="16" t="n">
        <v>0.15</v>
      </c>
    </row>
    <row r="10" customFormat="false" ht="15" hidden="false" customHeight="false" outlineLevel="0" collapsed="false">
      <c r="A10" s="14" t="s">
        <v>88</v>
      </c>
      <c r="B10" s="15" t="n">
        <v>30</v>
      </c>
    </row>
    <row r="11" customFormat="false" ht="15" hidden="false" customHeight="false" outlineLevel="0" collapsed="false">
      <c r="A11" s="14" t="s">
        <v>89</v>
      </c>
      <c r="B11" s="15" t="n">
        <v>33</v>
      </c>
    </row>
    <row r="12" customFormat="false" ht="15" hidden="false" customHeight="false" outlineLevel="0" collapsed="false">
      <c r="A12" s="14" t="s">
        <v>90</v>
      </c>
      <c r="B12" s="17" t="n">
        <f aca="false">AVERAGE(B10:B11)</f>
        <v>31.5</v>
      </c>
    </row>
    <row r="13" customFormat="false" ht="42" hidden="false" customHeight="true" outlineLevel="0" collapsed="false">
      <c r="A13" s="14" t="s">
        <v>91</v>
      </c>
      <c r="B13" s="18" t="s">
        <v>135</v>
      </c>
    </row>
    <row r="15" customFormat="false" ht="15" hidden="false" customHeight="false" outlineLevel="0" collapsed="false">
      <c r="A15" s="13" t="s">
        <v>93</v>
      </c>
      <c r="B15" s="13"/>
      <c r="C15" s="13"/>
      <c r="D15" s="13"/>
      <c r="E15" s="13"/>
      <c r="F15" s="13"/>
      <c r="G15" s="13"/>
      <c r="H15" s="13"/>
      <c r="I15" s="13"/>
    </row>
    <row r="16" customFormat="false" ht="15" hidden="false" customHeight="false" outlineLevel="0" collapsed="false">
      <c r="A16" s="19" t="s">
        <v>2</v>
      </c>
      <c r="B16" s="19" t="s">
        <v>94</v>
      </c>
      <c r="C16" s="19" t="s">
        <v>95</v>
      </c>
    </row>
    <row r="17" customFormat="false" ht="15" hidden="false" customHeight="false" outlineLevel="0" collapsed="false">
      <c r="A17" s="20" t="s">
        <v>136</v>
      </c>
      <c r="B17" s="21" t="n">
        <v>15</v>
      </c>
      <c r="C17" s="22" t="s">
        <v>137</v>
      </c>
    </row>
    <row r="18" customFormat="false" ht="15" hidden="false" customHeight="false" outlineLevel="0" collapsed="false">
      <c r="A18" s="20" t="s">
        <v>138</v>
      </c>
      <c r="B18" s="21" t="n">
        <v>15.7</v>
      </c>
      <c r="C18" s="22" t="s">
        <v>139</v>
      </c>
    </row>
    <row r="19" customFormat="false" ht="15" hidden="false" customHeight="false" outlineLevel="0" collapsed="false">
      <c r="A19" s="20" t="s">
        <v>140</v>
      </c>
      <c r="B19" s="21" t="n">
        <v>7.3</v>
      </c>
      <c r="C19" s="22" t="s">
        <v>141</v>
      </c>
    </row>
    <row r="20" customFormat="false" ht="15" hidden="false" customHeight="false" outlineLevel="0" collapsed="false">
      <c r="A20" s="20" t="s">
        <v>142</v>
      </c>
      <c r="B20" s="21" t="n">
        <v>6.3</v>
      </c>
      <c r="C20" s="22" t="s">
        <v>143</v>
      </c>
    </row>
    <row r="21" customFormat="false" ht="15" hidden="false" customHeight="false" outlineLevel="0" collapsed="false">
      <c r="A21" s="20" t="s">
        <v>144</v>
      </c>
      <c r="B21" s="21" t="n">
        <v>2.6</v>
      </c>
      <c r="C21" s="22" t="s">
        <v>145</v>
      </c>
    </row>
    <row r="23" customFormat="false" ht="15" hidden="false" customHeight="false" outlineLevel="0" collapsed="false">
      <c r="A23" s="13" t="s">
        <v>104</v>
      </c>
      <c r="B23" s="13"/>
      <c r="C23" s="13"/>
      <c r="D23" s="13"/>
      <c r="E23" s="13"/>
      <c r="F23" s="13"/>
      <c r="G23" s="13"/>
      <c r="H23" s="13"/>
      <c r="I23" s="13"/>
    </row>
    <row r="24" customFormat="false" ht="30" hidden="false" customHeight="true" outlineLevel="0" collapsed="false">
      <c r="A24" s="3" t="s">
        <v>105</v>
      </c>
      <c r="B24" s="3" t="s">
        <v>106</v>
      </c>
      <c r="C24" s="3" t="s">
        <v>107</v>
      </c>
      <c r="D24" s="3" t="s">
        <v>108</v>
      </c>
      <c r="E24" s="3" t="s">
        <v>109</v>
      </c>
      <c r="F24" s="3" t="s">
        <v>110</v>
      </c>
      <c r="G24" s="3" t="s">
        <v>111</v>
      </c>
      <c r="H24" s="3" t="s">
        <v>112</v>
      </c>
      <c r="I24" s="3" t="s">
        <v>113</v>
      </c>
    </row>
    <row r="25" customFormat="false" ht="15" hidden="false" customHeight="false" outlineLevel="0" collapsed="false">
      <c r="A25" s="20" t="s">
        <v>114</v>
      </c>
      <c r="B25" s="23" t="s">
        <v>146</v>
      </c>
      <c r="C25" s="24" t="n">
        <v>3</v>
      </c>
      <c r="D25" s="25" t="n">
        <v>3.5</v>
      </c>
      <c r="E25" s="26" t="n">
        <v>15</v>
      </c>
      <c r="F25" s="27" t="n">
        <f aca="false">D25*E25</f>
        <v>52.5</v>
      </c>
      <c r="G25" s="28" t="n">
        <f aca="false">F25/B12</f>
        <v>1.66666666666667</v>
      </c>
      <c r="H25" s="29" t="n">
        <f aca="false">G25-1</f>
        <v>0.666666666666667</v>
      </c>
      <c r="I25" s="29" t="n">
        <f aca="false">G25^(1/C25)-1</f>
        <v>0.185631101496688</v>
      </c>
    </row>
    <row r="26" customFormat="false" ht="15" hidden="false" customHeight="false" outlineLevel="0" collapsed="false">
      <c r="A26" s="20" t="s">
        <v>116</v>
      </c>
      <c r="B26" s="23" t="s">
        <v>147</v>
      </c>
      <c r="C26" s="24" t="n">
        <v>3.5</v>
      </c>
      <c r="D26" s="25" t="n">
        <v>7</v>
      </c>
      <c r="E26" s="26" t="n">
        <v>15</v>
      </c>
      <c r="F26" s="27" t="n">
        <f aca="false">D26*E26</f>
        <v>105</v>
      </c>
      <c r="G26" s="28" t="n">
        <f aca="false">F26/B12</f>
        <v>3.33333333333333</v>
      </c>
      <c r="H26" s="29" t="n">
        <f aca="false">G26-1</f>
        <v>2.33333333333333</v>
      </c>
      <c r="I26" s="29" t="n">
        <f aca="false">G26^(1/C26)-1</f>
        <v>0.4105676750826</v>
      </c>
    </row>
    <row r="27" customFormat="false" ht="15" hidden="false" customHeight="false" outlineLevel="0" collapsed="false">
      <c r="A27" s="20" t="s">
        <v>118</v>
      </c>
      <c r="B27" s="23" t="s">
        <v>147</v>
      </c>
      <c r="C27" s="24" t="n">
        <v>3.5</v>
      </c>
      <c r="D27" s="25" t="n">
        <v>12</v>
      </c>
      <c r="E27" s="26" t="n">
        <v>18</v>
      </c>
      <c r="F27" s="27" t="n">
        <f aca="false">D27*E27</f>
        <v>216</v>
      </c>
      <c r="G27" s="28" t="n">
        <f aca="false">F27/B12</f>
        <v>6.85714285714286</v>
      </c>
      <c r="H27" s="29" t="n">
        <f aca="false">G27-1</f>
        <v>5.85714285714286</v>
      </c>
      <c r="I27" s="29" t="n">
        <f aca="false">G27^(1/C27)-1</f>
        <v>0.733397063047994</v>
      </c>
    </row>
    <row r="28" customFormat="false" ht="30" hidden="false" customHeight="true" outlineLevel="0" collapsed="false">
      <c r="A28" s="18" t="s">
        <v>148</v>
      </c>
    </row>
    <row r="30" customFormat="false" ht="15" hidden="false" customHeight="false" outlineLevel="0" collapsed="false">
      <c r="A30" s="13" t="s">
        <v>120</v>
      </c>
      <c r="B30" s="13"/>
      <c r="C30" s="13"/>
      <c r="D30" s="13"/>
      <c r="E30" s="13"/>
      <c r="F30" s="13"/>
      <c r="G30" s="13"/>
      <c r="H30" s="13"/>
      <c r="I30" s="13"/>
    </row>
    <row r="31" customFormat="false" ht="30" hidden="false" customHeight="true" outlineLevel="0" collapsed="false">
      <c r="A31" s="3" t="s">
        <v>105</v>
      </c>
      <c r="B31" s="3" t="s">
        <v>106</v>
      </c>
      <c r="C31" s="3" t="s">
        <v>107</v>
      </c>
      <c r="D31" s="3" t="s">
        <v>121</v>
      </c>
      <c r="E31" s="3" t="s">
        <v>110</v>
      </c>
      <c r="F31" s="3" t="s">
        <v>111</v>
      </c>
      <c r="G31" s="3" t="s">
        <v>112</v>
      </c>
      <c r="H31" s="3" t="s">
        <v>113</v>
      </c>
    </row>
    <row r="32" customFormat="false" ht="15" hidden="false" customHeight="false" outlineLevel="0" collapsed="false">
      <c r="A32" s="20" t="s">
        <v>114</v>
      </c>
      <c r="B32" s="23" t="s">
        <v>146</v>
      </c>
      <c r="C32" s="24" t="n">
        <v>3</v>
      </c>
      <c r="D32" s="5" t="s">
        <v>149</v>
      </c>
      <c r="E32" s="25" t="n">
        <v>39</v>
      </c>
      <c r="F32" s="28" t="n">
        <f aca="false">E32/B12</f>
        <v>1.23809523809524</v>
      </c>
      <c r="G32" s="29" t="n">
        <f aca="false">F32-1</f>
        <v>0.238095238095238</v>
      </c>
      <c r="H32" s="29" t="n">
        <f aca="false">F32^(1/C32)-1</f>
        <v>0.0737866932948026</v>
      </c>
    </row>
    <row r="33" customFormat="false" ht="23.85" hidden="false" customHeight="false" outlineLevel="0" collapsed="false">
      <c r="A33" s="20" t="s">
        <v>116</v>
      </c>
      <c r="B33" s="23" t="s">
        <v>147</v>
      </c>
      <c r="C33" s="24" t="n">
        <v>3.5</v>
      </c>
      <c r="D33" s="5" t="s">
        <v>150</v>
      </c>
      <c r="E33" s="25" t="n">
        <v>95</v>
      </c>
      <c r="F33" s="28" t="n">
        <f aca="false">E33/B12</f>
        <v>3.01587301587302</v>
      </c>
      <c r="G33" s="29" t="n">
        <f aca="false">F33-1</f>
        <v>2.01587301587302</v>
      </c>
      <c r="H33" s="29" t="n">
        <f aca="false">F33^(1/C33)-1</f>
        <v>0.370803351494498</v>
      </c>
    </row>
    <row r="34" customFormat="false" ht="15" hidden="false" customHeight="false" outlineLevel="0" collapsed="false">
      <c r="A34" s="20" t="s">
        <v>118</v>
      </c>
      <c r="B34" s="23" t="s">
        <v>147</v>
      </c>
      <c r="C34" s="24" t="n">
        <v>3.5</v>
      </c>
      <c r="D34" s="5" t="s">
        <v>151</v>
      </c>
      <c r="E34" s="25" t="n">
        <v>180</v>
      </c>
      <c r="F34" s="28" t="n">
        <f aca="false">E34/B12</f>
        <v>5.71428571428571</v>
      </c>
      <c r="G34" s="29" t="n">
        <f aca="false">F34-1</f>
        <v>4.71428571428571</v>
      </c>
      <c r="H34" s="29" t="n">
        <f aca="false">F34^(1/C34)-1</f>
        <v>0.645412693099038</v>
      </c>
    </row>
    <row r="35" customFormat="false" ht="15" hidden="false" customHeight="false" outlineLevel="0" collapsed="false">
      <c r="A35" s="13" t="s">
        <v>125</v>
      </c>
      <c r="B35" s="13"/>
      <c r="C35" s="13"/>
      <c r="D35" s="13"/>
      <c r="E35" s="13"/>
      <c r="F35" s="13"/>
      <c r="G35" s="13"/>
      <c r="H35" s="13"/>
      <c r="I35" s="13"/>
    </row>
    <row r="36" customFormat="false" ht="15" hidden="false" customHeight="false" outlineLevel="0" collapsed="false">
      <c r="A36" s="14" t="s">
        <v>126</v>
      </c>
      <c r="B36" s="17" t="n">
        <f aca="false">AVERAGE(F26,E33)</f>
        <v>100</v>
      </c>
    </row>
    <row r="37" customFormat="false" ht="15" hidden="false" customHeight="false" outlineLevel="0" collapsed="false">
      <c r="A37" s="14" t="s">
        <v>12</v>
      </c>
      <c r="B37" s="30" t="n">
        <f aca="false">B36/B12</f>
        <v>3.17460317460317</v>
      </c>
    </row>
    <row r="38" customFormat="false" ht="15" hidden="false" customHeight="false" outlineLevel="0" collapsed="false">
      <c r="A38" s="14" t="s">
        <v>13</v>
      </c>
      <c r="B38" s="31" t="n">
        <f aca="false">B37-1</f>
        <v>2.17460317460317</v>
      </c>
    </row>
    <row r="39" customFormat="false" ht="15" hidden="false" customHeight="false" outlineLevel="0" collapsed="false">
      <c r="A39" s="14" t="s">
        <v>127</v>
      </c>
      <c r="B39" s="31" t="n">
        <f aca="false">B37^(1/C26)-1</f>
        <v>0.39104071511099</v>
      </c>
    </row>
    <row r="40" customFormat="false" ht="15" hidden="false" customHeight="false" outlineLevel="0" collapsed="false">
      <c r="A40" s="14" t="s">
        <v>128</v>
      </c>
      <c r="B40" s="30" t="n">
        <f aca="false">MIN(G25,F32)</f>
        <v>1.23809523809524</v>
      </c>
      <c r="C40" s="30" t="n">
        <f aca="false">MAX(G27,F34)</f>
        <v>6.85714285714286</v>
      </c>
    </row>
    <row r="41" customFormat="false" ht="15" hidden="false" customHeight="false" outlineLevel="0" collapsed="false">
      <c r="A41" s="14" t="s">
        <v>129</v>
      </c>
      <c r="B41" s="30" t="n">
        <f aca="false">B36/B11</f>
        <v>3.03030303030303</v>
      </c>
    </row>
    <row r="43" customFormat="false" ht="15" hidden="false" customHeight="false" outlineLevel="0" collapsed="false">
      <c r="A43" s="13" t="s">
        <v>130</v>
      </c>
      <c r="B43" s="13"/>
      <c r="C43" s="13"/>
      <c r="D43" s="13"/>
      <c r="E43" s="13"/>
      <c r="F43" s="13"/>
      <c r="G43" s="13"/>
      <c r="H43" s="13"/>
      <c r="I43" s="13"/>
    </row>
    <row r="44" customFormat="false" ht="15" hidden="false" customHeight="false" outlineLevel="0" collapsed="false">
      <c r="A44" s="2" t="s">
        <v>152</v>
      </c>
    </row>
    <row r="45" customFormat="false" ht="15" hidden="false" customHeight="false" outlineLevel="0" collapsed="false">
      <c r="A45" s="2" t="s">
        <v>153</v>
      </c>
    </row>
    <row r="46" customFormat="false" ht="15" hidden="false" customHeight="false" outlineLevel="0" collapsed="false">
      <c r="A46" s="2" t="s">
        <v>154</v>
      </c>
    </row>
    <row r="47" customFormat="false" ht="15" hidden="false" customHeight="false" outlineLevel="0" collapsed="false">
      <c r="A47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36"/>
    <col collapsed="false" customWidth="true" hidden="false" outlineLevel="0" max="9" min="5" style="0" width="13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12" t="s">
        <v>26</v>
      </c>
    </row>
    <row r="4" customFormat="false" ht="15" hidden="false" customHeight="false" outlineLevel="0" collapsed="false">
      <c r="A4" s="13" t="s">
        <v>82</v>
      </c>
      <c r="B4" s="13"/>
      <c r="C4" s="13"/>
      <c r="D4" s="13"/>
      <c r="E4" s="13"/>
      <c r="F4" s="13"/>
      <c r="G4" s="13"/>
      <c r="H4" s="13"/>
      <c r="I4" s="13"/>
    </row>
    <row r="5" customFormat="false" ht="15" hidden="false" customHeight="false" outlineLevel="0" collapsed="false">
      <c r="A5" s="14" t="s">
        <v>83</v>
      </c>
      <c r="B5" s="14" t="s">
        <v>27</v>
      </c>
    </row>
    <row r="6" customFormat="false" ht="15" hidden="false" customHeight="false" outlineLevel="0" collapsed="false">
      <c r="A6" s="14" t="s">
        <v>84</v>
      </c>
      <c r="B6" s="15" t="n">
        <v>10</v>
      </c>
    </row>
    <row r="7" customFormat="false" ht="15" hidden="false" customHeight="false" outlineLevel="0" collapsed="false">
      <c r="A7" s="14" t="s">
        <v>85</v>
      </c>
      <c r="B7" s="15" t="n">
        <v>10</v>
      </c>
    </row>
    <row r="8" customFormat="false" ht="15" hidden="false" customHeight="false" outlineLevel="0" collapsed="false">
      <c r="A8" s="14" t="s">
        <v>86</v>
      </c>
      <c r="B8" s="16" t="n">
        <v>0.08</v>
      </c>
    </row>
    <row r="9" customFormat="false" ht="15" hidden="false" customHeight="false" outlineLevel="0" collapsed="false">
      <c r="A9" s="14" t="s">
        <v>87</v>
      </c>
      <c r="B9" s="16" t="n">
        <v>0.15</v>
      </c>
    </row>
    <row r="10" customFormat="false" ht="15" hidden="false" customHeight="false" outlineLevel="0" collapsed="false">
      <c r="A10" s="14" t="s">
        <v>88</v>
      </c>
      <c r="B10" s="15" t="n">
        <v>10.5</v>
      </c>
    </row>
    <row r="11" customFormat="false" ht="15" hidden="false" customHeight="false" outlineLevel="0" collapsed="false">
      <c r="A11" s="14" t="s">
        <v>89</v>
      </c>
      <c r="B11" s="15" t="n">
        <v>12</v>
      </c>
    </row>
    <row r="12" customFormat="false" ht="15" hidden="false" customHeight="false" outlineLevel="0" collapsed="false">
      <c r="A12" s="14" t="s">
        <v>90</v>
      </c>
      <c r="B12" s="17" t="n">
        <f aca="false">AVERAGE(B10:B11)</f>
        <v>11.25</v>
      </c>
    </row>
    <row r="13" customFormat="false" ht="42" hidden="false" customHeight="true" outlineLevel="0" collapsed="false">
      <c r="A13" s="14" t="s">
        <v>91</v>
      </c>
      <c r="B13" s="18" t="s">
        <v>155</v>
      </c>
    </row>
    <row r="15" customFormat="false" ht="15" hidden="false" customHeight="false" outlineLevel="0" collapsed="false">
      <c r="A15" s="13" t="s">
        <v>93</v>
      </c>
      <c r="B15" s="13"/>
      <c r="C15" s="13"/>
      <c r="D15" s="13"/>
      <c r="E15" s="13"/>
      <c r="F15" s="13"/>
      <c r="G15" s="13"/>
      <c r="H15" s="13"/>
      <c r="I15" s="13"/>
    </row>
    <row r="16" customFormat="false" ht="15" hidden="false" customHeight="false" outlineLevel="0" collapsed="false">
      <c r="A16" s="19" t="s">
        <v>2</v>
      </c>
      <c r="B16" s="19" t="s">
        <v>94</v>
      </c>
      <c r="C16" s="19" t="s">
        <v>95</v>
      </c>
    </row>
    <row r="17" customFormat="false" ht="15" hidden="false" customHeight="false" outlineLevel="0" collapsed="false">
      <c r="A17" s="20" t="s">
        <v>136</v>
      </c>
      <c r="B17" s="21" t="n">
        <v>15</v>
      </c>
      <c r="C17" s="22" t="s">
        <v>137</v>
      </c>
    </row>
    <row r="18" customFormat="false" ht="15" hidden="false" customHeight="false" outlineLevel="0" collapsed="false">
      <c r="A18" s="20" t="s">
        <v>138</v>
      </c>
      <c r="B18" s="21" t="n">
        <v>15.7</v>
      </c>
      <c r="C18" s="22" t="s">
        <v>139</v>
      </c>
    </row>
    <row r="19" customFormat="false" ht="15" hidden="false" customHeight="false" outlineLevel="0" collapsed="false">
      <c r="A19" s="20" t="s">
        <v>156</v>
      </c>
      <c r="B19" s="21" t="n">
        <v>1</v>
      </c>
      <c r="C19" s="22" t="s">
        <v>157</v>
      </c>
    </row>
    <row r="23" customFormat="false" ht="15" hidden="false" customHeight="false" outlineLevel="0" collapsed="false">
      <c r="A23" s="13" t="s">
        <v>104</v>
      </c>
      <c r="B23" s="13"/>
      <c r="C23" s="13"/>
      <c r="D23" s="13"/>
      <c r="E23" s="13"/>
      <c r="F23" s="13"/>
      <c r="G23" s="13"/>
      <c r="H23" s="13"/>
      <c r="I23" s="13"/>
    </row>
    <row r="24" customFormat="false" ht="30" hidden="false" customHeight="true" outlineLevel="0" collapsed="false">
      <c r="A24" s="3" t="s">
        <v>105</v>
      </c>
      <c r="B24" s="3" t="s">
        <v>106</v>
      </c>
      <c r="C24" s="3" t="s">
        <v>107</v>
      </c>
      <c r="D24" s="3" t="s">
        <v>108</v>
      </c>
      <c r="E24" s="3" t="s">
        <v>109</v>
      </c>
      <c r="F24" s="3" t="s">
        <v>110</v>
      </c>
      <c r="G24" s="3" t="s">
        <v>111</v>
      </c>
      <c r="H24" s="3" t="s">
        <v>112</v>
      </c>
      <c r="I24" s="3" t="s">
        <v>113</v>
      </c>
    </row>
    <row r="25" customFormat="false" ht="15" hidden="false" customHeight="false" outlineLevel="0" collapsed="false">
      <c r="A25" s="20" t="s">
        <v>114</v>
      </c>
      <c r="B25" s="23" t="s">
        <v>146</v>
      </c>
      <c r="C25" s="24" t="n">
        <v>2.5</v>
      </c>
      <c r="D25" s="25" t="n">
        <v>2</v>
      </c>
      <c r="E25" s="26" t="n">
        <v>12</v>
      </c>
      <c r="F25" s="27" t="n">
        <f aca="false">D25*E25</f>
        <v>24</v>
      </c>
      <c r="G25" s="28" t="n">
        <f aca="false">F25/B12</f>
        <v>2.13333333333333</v>
      </c>
      <c r="H25" s="29" t="n">
        <f aca="false">G25-1</f>
        <v>1.13333333333333</v>
      </c>
      <c r="I25" s="29" t="n">
        <f aca="false">G25^(1/C25)-1</f>
        <v>0.354015037863309</v>
      </c>
    </row>
    <row r="26" customFormat="false" ht="15" hidden="false" customHeight="false" outlineLevel="0" collapsed="false">
      <c r="A26" s="20" t="s">
        <v>116</v>
      </c>
      <c r="B26" s="23" t="s">
        <v>146</v>
      </c>
      <c r="C26" s="24" t="n">
        <v>2.5</v>
      </c>
      <c r="D26" s="25" t="n">
        <v>3.5</v>
      </c>
      <c r="E26" s="26" t="n">
        <v>12</v>
      </c>
      <c r="F26" s="27" t="n">
        <f aca="false">D26*E26</f>
        <v>42</v>
      </c>
      <c r="G26" s="28" t="n">
        <f aca="false">F26/B12</f>
        <v>3.73333333333333</v>
      </c>
      <c r="H26" s="29" t="n">
        <f aca="false">G26-1</f>
        <v>2.73333333333333</v>
      </c>
      <c r="I26" s="29" t="n">
        <f aca="false">G26^(1/C26)-1</f>
        <v>0.693708656418214</v>
      </c>
    </row>
    <row r="27" customFormat="false" ht="15" hidden="false" customHeight="false" outlineLevel="0" collapsed="false">
      <c r="A27" s="20" t="s">
        <v>118</v>
      </c>
      <c r="B27" s="23" t="s">
        <v>147</v>
      </c>
      <c r="C27" s="24" t="n">
        <v>3.5</v>
      </c>
      <c r="D27" s="25" t="n">
        <v>7</v>
      </c>
      <c r="E27" s="26" t="n">
        <v>15</v>
      </c>
      <c r="F27" s="27" t="n">
        <f aca="false">D27*E27</f>
        <v>105</v>
      </c>
      <c r="G27" s="28" t="n">
        <f aca="false">F27/B12</f>
        <v>9.33333333333333</v>
      </c>
      <c r="H27" s="29" t="n">
        <f aca="false">G27-1</f>
        <v>8.33333333333333</v>
      </c>
      <c r="I27" s="29" t="n">
        <f aca="false">G27^(1/C27)-1</f>
        <v>0.893011990144175</v>
      </c>
    </row>
    <row r="28" customFormat="false" ht="30" hidden="false" customHeight="true" outlineLevel="0" collapsed="false">
      <c r="A28" s="18" t="s">
        <v>158</v>
      </c>
    </row>
    <row r="30" customFormat="false" ht="15" hidden="false" customHeight="false" outlineLevel="0" collapsed="false">
      <c r="A30" s="13" t="s">
        <v>120</v>
      </c>
      <c r="B30" s="13"/>
      <c r="C30" s="13"/>
      <c r="D30" s="13"/>
      <c r="E30" s="13"/>
      <c r="F30" s="13"/>
      <c r="G30" s="13"/>
      <c r="H30" s="13"/>
      <c r="I30" s="13"/>
    </row>
    <row r="31" customFormat="false" ht="30" hidden="false" customHeight="true" outlineLevel="0" collapsed="false">
      <c r="A31" s="3" t="s">
        <v>105</v>
      </c>
      <c r="B31" s="3" t="s">
        <v>106</v>
      </c>
      <c r="C31" s="3" t="s">
        <v>107</v>
      </c>
      <c r="D31" s="3" t="s">
        <v>121</v>
      </c>
      <c r="E31" s="3" t="s">
        <v>110</v>
      </c>
      <c r="F31" s="3" t="s">
        <v>111</v>
      </c>
      <c r="G31" s="3" t="s">
        <v>112</v>
      </c>
      <c r="H31" s="3" t="s">
        <v>113</v>
      </c>
    </row>
    <row r="32" customFormat="false" ht="15" hidden="false" customHeight="false" outlineLevel="0" collapsed="false">
      <c r="A32" s="20" t="s">
        <v>114</v>
      </c>
      <c r="B32" s="23" t="s">
        <v>146</v>
      </c>
      <c r="C32" s="24" t="n">
        <v>2.5</v>
      </c>
      <c r="D32" s="5" t="s">
        <v>159</v>
      </c>
      <c r="E32" s="25" t="n">
        <v>10</v>
      </c>
      <c r="F32" s="28" t="n">
        <f aca="false">E32/B12</f>
        <v>0.888888888888889</v>
      </c>
      <c r="G32" s="29" t="n">
        <f aca="false">F32-1</f>
        <v>-0.111111111111111</v>
      </c>
      <c r="H32" s="29" t="n">
        <f aca="false">F32^(1/C32)-1</f>
        <v>-0.0460206125964964</v>
      </c>
    </row>
    <row r="33" customFormat="false" ht="23.85" hidden="false" customHeight="false" outlineLevel="0" collapsed="false">
      <c r="A33" s="20" t="s">
        <v>116</v>
      </c>
      <c r="B33" s="23" t="s">
        <v>146</v>
      </c>
      <c r="C33" s="24" t="n">
        <v>2.5</v>
      </c>
      <c r="D33" s="5" t="s">
        <v>160</v>
      </c>
      <c r="E33" s="25" t="n">
        <v>38</v>
      </c>
      <c r="F33" s="28" t="n">
        <f aca="false">E33/B12</f>
        <v>3.37777777777778</v>
      </c>
      <c r="G33" s="29" t="n">
        <f aca="false">F33-1</f>
        <v>2.37777777777778</v>
      </c>
      <c r="H33" s="29" t="n">
        <f aca="false">F33^(1/C33)-1</f>
        <v>0.62724306623747</v>
      </c>
    </row>
    <row r="34" customFormat="false" ht="15" hidden="false" customHeight="false" outlineLevel="0" collapsed="false">
      <c r="A34" s="20" t="s">
        <v>118</v>
      </c>
      <c r="B34" s="23" t="s">
        <v>147</v>
      </c>
      <c r="C34" s="24" t="n">
        <v>3.5</v>
      </c>
      <c r="D34" s="5" t="s">
        <v>161</v>
      </c>
      <c r="E34" s="25" t="n">
        <v>90</v>
      </c>
      <c r="F34" s="28" t="n">
        <f aca="false">E34/B12</f>
        <v>8</v>
      </c>
      <c r="G34" s="29" t="n">
        <f aca="false">F34-1</f>
        <v>7</v>
      </c>
      <c r="H34" s="29" t="n">
        <f aca="false">F34^(1/C34)-1</f>
        <v>0.811447328527813</v>
      </c>
    </row>
    <row r="35" customFormat="false" ht="15" hidden="false" customHeight="false" outlineLevel="0" collapsed="false">
      <c r="A35" s="13" t="s">
        <v>125</v>
      </c>
      <c r="B35" s="13"/>
      <c r="C35" s="13"/>
      <c r="D35" s="13"/>
      <c r="E35" s="13"/>
      <c r="F35" s="13"/>
      <c r="G35" s="13"/>
      <c r="H35" s="13"/>
      <c r="I35" s="13"/>
    </row>
    <row r="36" customFormat="false" ht="15" hidden="false" customHeight="false" outlineLevel="0" collapsed="false">
      <c r="A36" s="14" t="s">
        <v>126</v>
      </c>
      <c r="B36" s="17" t="n">
        <f aca="false">AVERAGE(F26,E33)</f>
        <v>40</v>
      </c>
    </row>
    <row r="37" customFormat="false" ht="15" hidden="false" customHeight="false" outlineLevel="0" collapsed="false">
      <c r="A37" s="14" t="s">
        <v>12</v>
      </c>
      <c r="B37" s="30" t="n">
        <f aca="false">B36/B12</f>
        <v>3.55555555555556</v>
      </c>
    </row>
    <row r="38" customFormat="false" ht="15" hidden="false" customHeight="false" outlineLevel="0" collapsed="false">
      <c r="A38" s="14" t="s">
        <v>13</v>
      </c>
      <c r="B38" s="31" t="n">
        <f aca="false">B37-1</f>
        <v>2.55555555555556</v>
      </c>
    </row>
    <row r="39" customFormat="false" ht="15" hidden="false" customHeight="false" outlineLevel="0" collapsed="false">
      <c r="A39" s="14" t="s">
        <v>127</v>
      </c>
      <c r="B39" s="31" t="n">
        <f aca="false">B37^(1/C26)-1</f>
        <v>0.660974586154023</v>
      </c>
    </row>
    <row r="40" customFormat="false" ht="15" hidden="false" customHeight="false" outlineLevel="0" collapsed="false">
      <c r="A40" s="14" t="s">
        <v>128</v>
      </c>
      <c r="B40" s="30" t="n">
        <f aca="false">MIN(G25,F32)</f>
        <v>0.888888888888889</v>
      </c>
      <c r="C40" s="30" t="n">
        <f aca="false">MAX(G27,F34)</f>
        <v>9.33333333333333</v>
      </c>
    </row>
    <row r="41" customFormat="false" ht="15" hidden="false" customHeight="false" outlineLevel="0" collapsed="false">
      <c r="A41" s="14" t="s">
        <v>129</v>
      </c>
      <c r="B41" s="30" t="n">
        <f aca="false">B36/B11</f>
        <v>3.33333333333333</v>
      </c>
    </row>
    <row r="43" customFormat="false" ht="15" hidden="false" customHeight="false" outlineLevel="0" collapsed="false">
      <c r="A43" s="13" t="s">
        <v>130</v>
      </c>
      <c r="B43" s="13"/>
      <c r="C43" s="13"/>
      <c r="D43" s="13"/>
      <c r="E43" s="13"/>
      <c r="F43" s="13"/>
      <c r="G43" s="13"/>
      <c r="H43" s="13"/>
      <c r="I43" s="13"/>
    </row>
    <row r="44" customFormat="false" ht="15" hidden="false" customHeight="false" outlineLevel="0" collapsed="false">
      <c r="A44" s="2" t="s">
        <v>162</v>
      </c>
    </row>
    <row r="45" customFormat="false" ht="15" hidden="false" customHeight="false" outlineLevel="0" collapsed="false">
      <c r="A45" s="2" t="s">
        <v>163</v>
      </c>
    </row>
    <row r="46" customFormat="false" ht="15" hidden="false" customHeight="false" outlineLevel="0" collapsed="false">
      <c r="A46" s="2" t="s">
        <v>164</v>
      </c>
    </row>
    <row r="47" customFormat="false" ht="15" hidden="false" customHeight="false" outlineLevel="0" collapsed="false">
      <c r="A47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36"/>
    <col collapsed="false" customWidth="true" hidden="false" outlineLevel="0" max="9" min="5" style="0" width="13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12" t="s">
        <v>30</v>
      </c>
    </row>
    <row r="4" customFormat="false" ht="15" hidden="false" customHeight="false" outlineLevel="0" collapsed="false">
      <c r="A4" s="13" t="s">
        <v>82</v>
      </c>
      <c r="B4" s="13"/>
      <c r="C4" s="13"/>
      <c r="D4" s="13"/>
      <c r="E4" s="13"/>
      <c r="F4" s="13"/>
      <c r="G4" s="13"/>
      <c r="H4" s="13"/>
      <c r="I4" s="13"/>
    </row>
    <row r="5" customFormat="false" ht="15" hidden="false" customHeight="false" outlineLevel="0" collapsed="false">
      <c r="A5" s="14" t="s">
        <v>83</v>
      </c>
      <c r="B5" s="14" t="s">
        <v>31</v>
      </c>
    </row>
    <row r="6" customFormat="false" ht="15" hidden="false" customHeight="false" outlineLevel="0" collapsed="false">
      <c r="A6" s="14" t="s">
        <v>84</v>
      </c>
      <c r="B6" s="15" t="n">
        <v>15</v>
      </c>
    </row>
    <row r="7" customFormat="false" ht="15" hidden="false" customHeight="false" outlineLevel="0" collapsed="false">
      <c r="A7" s="14" t="s">
        <v>85</v>
      </c>
      <c r="B7" s="15" t="n">
        <v>15</v>
      </c>
    </row>
    <row r="8" customFormat="false" ht="15" hidden="false" customHeight="false" outlineLevel="0" collapsed="false">
      <c r="A8" s="14" t="s">
        <v>86</v>
      </c>
      <c r="B8" s="16" t="n">
        <v>0.08</v>
      </c>
    </row>
    <row r="9" customFormat="false" ht="15" hidden="false" customHeight="false" outlineLevel="0" collapsed="false">
      <c r="A9" s="14" t="s">
        <v>87</v>
      </c>
      <c r="B9" s="16" t="n">
        <v>0.15</v>
      </c>
    </row>
    <row r="10" customFormat="false" ht="15" hidden="false" customHeight="false" outlineLevel="0" collapsed="false">
      <c r="A10" s="14" t="s">
        <v>88</v>
      </c>
      <c r="B10" s="15" t="n">
        <v>13.5</v>
      </c>
    </row>
    <row r="11" customFormat="false" ht="15" hidden="false" customHeight="false" outlineLevel="0" collapsed="false">
      <c r="A11" s="14" t="s">
        <v>89</v>
      </c>
      <c r="B11" s="15" t="n">
        <v>15</v>
      </c>
    </row>
    <row r="12" customFormat="false" ht="15" hidden="false" customHeight="false" outlineLevel="0" collapsed="false">
      <c r="A12" s="14" t="s">
        <v>90</v>
      </c>
      <c r="B12" s="17" t="n">
        <f aca="false">AVERAGE(B10:B11)</f>
        <v>14.25</v>
      </c>
    </row>
    <row r="13" customFormat="false" ht="42" hidden="false" customHeight="true" outlineLevel="0" collapsed="false">
      <c r="A13" s="14" t="s">
        <v>91</v>
      </c>
      <c r="B13" s="18" t="s">
        <v>165</v>
      </c>
    </row>
    <row r="15" customFormat="false" ht="15" hidden="false" customHeight="false" outlineLevel="0" collapsed="false">
      <c r="A15" s="13" t="s">
        <v>93</v>
      </c>
      <c r="B15" s="13"/>
      <c r="C15" s="13"/>
      <c r="D15" s="13"/>
      <c r="E15" s="13"/>
      <c r="F15" s="13"/>
      <c r="G15" s="13"/>
      <c r="H15" s="13"/>
      <c r="I15" s="13"/>
    </row>
    <row r="16" customFormat="false" ht="15" hidden="false" customHeight="false" outlineLevel="0" collapsed="false">
      <c r="A16" s="19" t="s">
        <v>2</v>
      </c>
      <c r="B16" s="19" t="s">
        <v>94</v>
      </c>
      <c r="C16" s="19" t="s">
        <v>95</v>
      </c>
    </row>
    <row r="17" customFormat="false" ht="15" hidden="false" customHeight="false" outlineLevel="0" collapsed="false">
      <c r="A17" s="20" t="s">
        <v>166</v>
      </c>
      <c r="B17" s="21" t="n">
        <v>20.7</v>
      </c>
      <c r="C17" s="22" t="s">
        <v>167</v>
      </c>
    </row>
    <row r="18" customFormat="false" ht="15" hidden="false" customHeight="false" outlineLevel="0" collapsed="false">
      <c r="A18" s="20" t="s">
        <v>168</v>
      </c>
      <c r="B18" s="21" t="n">
        <v>17</v>
      </c>
      <c r="C18" s="22" t="s">
        <v>169</v>
      </c>
    </row>
    <row r="19" customFormat="false" ht="15" hidden="false" customHeight="false" outlineLevel="0" collapsed="false">
      <c r="A19" s="20" t="s">
        <v>170</v>
      </c>
      <c r="B19" s="21" t="n">
        <v>9</v>
      </c>
      <c r="C19" s="22" t="s">
        <v>171</v>
      </c>
    </row>
    <row r="20" customFormat="false" ht="15" hidden="false" customHeight="false" outlineLevel="0" collapsed="false">
      <c r="A20" s="20" t="s">
        <v>172</v>
      </c>
      <c r="B20" s="21" t="n">
        <v>5.9</v>
      </c>
      <c r="C20" s="22" t="s">
        <v>173</v>
      </c>
    </row>
    <row r="21" customFormat="false" ht="15" hidden="false" customHeight="false" outlineLevel="0" collapsed="false">
      <c r="A21" s="20" t="s">
        <v>174</v>
      </c>
      <c r="B21" s="21" t="n">
        <v>2.1</v>
      </c>
      <c r="C21" s="22" t="s">
        <v>175</v>
      </c>
    </row>
    <row r="23" customFormat="false" ht="15" hidden="false" customHeight="false" outlineLevel="0" collapsed="false">
      <c r="A23" s="13" t="s">
        <v>104</v>
      </c>
      <c r="B23" s="13"/>
      <c r="C23" s="13"/>
      <c r="D23" s="13"/>
      <c r="E23" s="13"/>
      <c r="F23" s="13"/>
      <c r="G23" s="13"/>
      <c r="H23" s="13"/>
      <c r="I23" s="13"/>
    </row>
    <row r="24" customFormat="false" ht="30" hidden="false" customHeight="true" outlineLevel="0" collapsed="false">
      <c r="A24" s="3" t="s">
        <v>105</v>
      </c>
      <c r="B24" s="3" t="s">
        <v>106</v>
      </c>
      <c r="C24" s="3" t="s">
        <v>107</v>
      </c>
      <c r="D24" s="3" t="s">
        <v>108</v>
      </c>
      <c r="E24" s="3" t="s">
        <v>109</v>
      </c>
      <c r="F24" s="3" t="s">
        <v>110</v>
      </c>
      <c r="G24" s="3" t="s">
        <v>111</v>
      </c>
      <c r="H24" s="3" t="s">
        <v>112</v>
      </c>
      <c r="I24" s="3" t="s">
        <v>113</v>
      </c>
    </row>
    <row r="25" customFormat="false" ht="15" hidden="false" customHeight="false" outlineLevel="0" collapsed="false">
      <c r="A25" s="20" t="s">
        <v>114</v>
      </c>
      <c r="B25" s="23" t="s">
        <v>117</v>
      </c>
      <c r="C25" s="24" t="n">
        <v>2</v>
      </c>
      <c r="D25" s="25" t="n">
        <v>2.5</v>
      </c>
      <c r="E25" s="26" t="n">
        <v>15</v>
      </c>
      <c r="F25" s="27" t="n">
        <f aca="false">D25*E25</f>
        <v>37.5</v>
      </c>
      <c r="G25" s="28" t="n">
        <f aca="false">F25/B12</f>
        <v>2.63157894736842</v>
      </c>
      <c r="H25" s="29" t="n">
        <f aca="false">G25-1</f>
        <v>1.63157894736842</v>
      </c>
      <c r="I25" s="29" t="n">
        <f aca="false">G25^(1/C25)-1</f>
        <v>0.622214211307625</v>
      </c>
    </row>
    <row r="26" customFormat="false" ht="15" hidden="false" customHeight="false" outlineLevel="0" collapsed="false">
      <c r="A26" s="20" t="s">
        <v>116</v>
      </c>
      <c r="B26" s="23" t="s">
        <v>146</v>
      </c>
      <c r="C26" s="24" t="n">
        <v>2.5</v>
      </c>
      <c r="D26" s="25" t="n">
        <v>3</v>
      </c>
      <c r="E26" s="26" t="n">
        <v>15</v>
      </c>
      <c r="F26" s="27" t="n">
        <f aca="false">D26*E26</f>
        <v>45</v>
      </c>
      <c r="G26" s="28" t="n">
        <f aca="false">F26/B12</f>
        <v>3.15789473684211</v>
      </c>
      <c r="H26" s="29" t="n">
        <f aca="false">G26-1</f>
        <v>2.15789473684211</v>
      </c>
      <c r="I26" s="29" t="n">
        <f aca="false">G26^(1/C26)-1</f>
        <v>0.584014160754065</v>
      </c>
    </row>
    <row r="27" customFormat="false" ht="15" hidden="false" customHeight="false" outlineLevel="0" collapsed="false">
      <c r="A27" s="20" t="s">
        <v>118</v>
      </c>
      <c r="B27" s="23" t="s">
        <v>147</v>
      </c>
      <c r="C27" s="24" t="n">
        <v>3.5</v>
      </c>
      <c r="D27" s="25" t="n">
        <v>6</v>
      </c>
      <c r="E27" s="26" t="n">
        <v>18</v>
      </c>
      <c r="F27" s="27" t="n">
        <f aca="false">D27*E27</f>
        <v>108</v>
      </c>
      <c r="G27" s="28" t="n">
        <f aca="false">F27/B12</f>
        <v>7.57894736842105</v>
      </c>
      <c r="H27" s="29" t="n">
        <f aca="false">G27-1</f>
        <v>6.57894736842105</v>
      </c>
      <c r="I27" s="29" t="n">
        <f aca="false">G27^(1/C27)-1</f>
        <v>0.783679520883073</v>
      </c>
    </row>
    <row r="28" customFormat="false" ht="30" hidden="false" customHeight="true" outlineLevel="0" collapsed="false">
      <c r="A28" s="18" t="s">
        <v>176</v>
      </c>
    </row>
    <row r="30" customFormat="false" ht="15" hidden="false" customHeight="false" outlineLevel="0" collapsed="false">
      <c r="A30" s="13" t="s">
        <v>120</v>
      </c>
      <c r="B30" s="13"/>
      <c r="C30" s="13"/>
      <c r="D30" s="13"/>
      <c r="E30" s="13"/>
      <c r="F30" s="13"/>
      <c r="G30" s="13"/>
      <c r="H30" s="13"/>
      <c r="I30" s="13"/>
    </row>
    <row r="31" customFormat="false" ht="30" hidden="false" customHeight="true" outlineLevel="0" collapsed="false">
      <c r="A31" s="3" t="s">
        <v>105</v>
      </c>
      <c r="B31" s="3" t="s">
        <v>106</v>
      </c>
      <c r="C31" s="3" t="s">
        <v>107</v>
      </c>
      <c r="D31" s="3" t="s">
        <v>121</v>
      </c>
      <c r="E31" s="3" t="s">
        <v>110</v>
      </c>
      <c r="F31" s="3" t="s">
        <v>111</v>
      </c>
      <c r="G31" s="3" t="s">
        <v>112</v>
      </c>
      <c r="H31" s="3" t="s">
        <v>113</v>
      </c>
    </row>
    <row r="32" customFormat="false" ht="15" hidden="false" customHeight="false" outlineLevel="0" collapsed="false">
      <c r="A32" s="20" t="s">
        <v>114</v>
      </c>
      <c r="B32" s="23" t="s">
        <v>117</v>
      </c>
      <c r="C32" s="24" t="n">
        <v>2</v>
      </c>
      <c r="D32" s="5" t="s">
        <v>177</v>
      </c>
      <c r="E32" s="25" t="n">
        <v>22</v>
      </c>
      <c r="F32" s="28" t="n">
        <f aca="false">E32/B12</f>
        <v>1.54385964912281</v>
      </c>
      <c r="G32" s="29" t="n">
        <f aca="false">F32-1</f>
        <v>0.543859649122807</v>
      </c>
      <c r="H32" s="29" t="n">
        <f aca="false">F32^(1/C32)-1</f>
        <v>0.242521488394791</v>
      </c>
    </row>
    <row r="33" customFormat="false" ht="23.85" hidden="false" customHeight="false" outlineLevel="0" collapsed="false">
      <c r="A33" s="20" t="s">
        <v>116</v>
      </c>
      <c r="B33" s="23" t="s">
        <v>146</v>
      </c>
      <c r="C33" s="24" t="n">
        <v>2.5</v>
      </c>
      <c r="D33" s="5" t="s">
        <v>178</v>
      </c>
      <c r="E33" s="25" t="n">
        <v>45</v>
      </c>
      <c r="F33" s="28" t="n">
        <f aca="false">E33/B12</f>
        <v>3.15789473684211</v>
      </c>
      <c r="G33" s="29" t="n">
        <f aca="false">F33-1</f>
        <v>2.15789473684211</v>
      </c>
      <c r="H33" s="29" t="n">
        <f aca="false">F33^(1/C33)-1</f>
        <v>0.584014160754065</v>
      </c>
    </row>
    <row r="34" customFormat="false" ht="23.85" hidden="false" customHeight="false" outlineLevel="0" collapsed="false">
      <c r="A34" s="20" t="s">
        <v>118</v>
      </c>
      <c r="B34" s="23" t="s">
        <v>147</v>
      </c>
      <c r="C34" s="24" t="n">
        <v>3.5</v>
      </c>
      <c r="D34" s="5" t="s">
        <v>179</v>
      </c>
      <c r="E34" s="25" t="n">
        <v>100</v>
      </c>
      <c r="F34" s="28" t="n">
        <f aca="false">E34/B12</f>
        <v>7.01754385964912</v>
      </c>
      <c r="G34" s="29" t="n">
        <f aca="false">F34-1</f>
        <v>6.01754385964912</v>
      </c>
      <c r="H34" s="29" t="n">
        <f aca="false">F34^(1/C34)-1</f>
        <v>0.744886496169584</v>
      </c>
    </row>
    <row r="35" customFormat="false" ht="15" hidden="false" customHeight="false" outlineLevel="0" collapsed="false">
      <c r="A35" s="13" t="s">
        <v>125</v>
      </c>
      <c r="B35" s="13"/>
      <c r="C35" s="13"/>
      <c r="D35" s="13"/>
      <c r="E35" s="13"/>
      <c r="F35" s="13"/>
      <c r="G35" s="13"/>
      <c r="H35" s="13"/>
      <c r="I35" s="13"/>
    </row>
    <row r="36" customFormat="false" ht="15" hidden="false" customHeight="false" outlineLevel="0" collapsed="false">
      <c r="A36" s="14" t="s">
        <v>126</v>
      </c>
      <c r="B36" s="17" t="n">
        <f aca="false">AVERAGE(F26,E33)</f>
        <v>45</v>
      </c>
    </row>
    <row r="37" customFormat="false" ht="15" hidden="false" customHeight="false" outlineLevel="0" collapsed="false">
      <c r="A37" s="14" t="s">
        <v>12</v>
      </c>
      <c r="B37" s="30" t="n">
        <f aca="false">B36/B12</f>
        <v>3.15789473684211</v>
      </c>
    </row>
    <row r="38" customFormat="false" ht="15" hidden="false" customHeight="false" outlineLevel="0" collapsed="false">
      <c r="A38" s="14" t="s">
        <v>13</v>
      </c>
      <c r="B38" s="31" t="n">
        <f aca="false">B37-1</f>
        <v>2.15789473684211</v>
      </c>
    </row>
    <row r="39" customFormat="false" ht="15" hidden="false" customHeight="false" outlineLevel="0" collapsed="false">
      <c r="A39" s="14" t="s">
        <v>127</v>
      </c>
      <c r="B39" s="31" t="n">
        <f aca="false">B37^(1/C26)-1</f>
        <v>0.584014160754065</v>
      </c>
    </row>
    <row r="40" customFormat="false" ht="15" hidden="false" customHeight="false" outlineLevel="0" collapsed="false">
      <c r="A40" s="14" t="s">
        <v>128</v>
      </c>
      <c r="B40" s="30" t="n">
        <f aca="false">MIN(G25,F32)</f>
        <v>1.54385964912281</v>
      </c>
      <c r="C40" s="30" t="n">
        <f aca="false">MAX(G27,F34)</f>
        <v>7.57894736842105</v>
      </c>
    </row>
    <row r="41" customFormat="false" ht="15" hidden="false" customHeight="false" outlineLevel="0" collapsed="false">
      <c r="A41" s="14" t="s">
        <v>129</v>
      </c>
      <c r="B41" s="30" t="n">
        <f aca="false">B36/B11</f>
        <v>3</v>
      </c>
    </row>
    <row r="43" customFormat="false" ht="15" hidden="false" customHeight="false" outlineLevel="0" collapsed="false">
      <c r="A43" s="13" t="s">
        <v>130</v>
      </c>
      <c r="B43" s="13"/>
      <c r="C43" s="13"/>
      <c r="D43" s="13"/>
      <c r="E43" s="13"/>
      <c r="F43" s="13"/>
      <c r="G43" s="13"/>
      <c r="H43" s="13"/>
      <c r="I43" s="13"/>
    </row>
    <row r="44" customFormat="false" ht="15" hidden="false" customHeight="false" outlineLevel="0" collapsed="false">
      <c r="A44" s="2" t="s">
        <v>180</v>
      </c>
    </row>
    <row r="45" customFormat="false" ht="15" hidden="false" customHeight="false" outlineLevel="0" collapsed="false">
      <c r="A45" s="2" t="s">
        <v>181</v>
      </c>
    </row>
    <row r="46" customFormat="false" ht="15" hidden="false" customHeight="false" outlineLevel="0" collapsed="false">
      <c r="A46" s="2" t="s">
        <v>182</v>
      </c>
    </row>
    <row r="47" customFormat="false" ht="15" hidden="false" customHeight="false" outlineLevel="0" collapsed="false">
      <c r="A47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36"/>
    <col collapsed="false" customWidth="true" hidden="false" outlineLevel="0" max="9" min="5" style="0" width="13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12" t="s">
        <v>34</v>
      </c>
    </row>
    <row r="4" customFormat="false" ht="15" hidden="false" customHeight="false" outlineLevel="0" collapsed="false">
      <c r="A4" s="13" t="s">
        <v>82</v>
      </c>
      <c r="B4" s="13"/>
      <c r="C4" s="13"/>
      <c r="D4" s="13"/>
      <c r="E4" s="13"/>
      <c r="F4" s="13"/>
      <c r="G4" s="13"/>
      <c r="H4" s="13"/>
      <c r="I4" s="13"/>
    </row>
    <row r="5" customFormat="false" ht="15" hidden="false" customHeight="false" outlineLevel="0" collapsed="false">
      <c r="A5" s="14" t="s">
        <v>83</v>
      </c>
      <c r="B5" s="14" t="s">
        <v>35</v>
      </c>
    </row>
    <row r="6" customFormat="false" ht="15" hidden="false" customHeight="false" outlineLevel="0" collapsed="false">
      <c r="A6" s="14" t="s">
        <v>84</v>
      </c>
      <c r="B6" s="15" t="n">
        <v>22</v>
      </c>
    </row>
    <row r="7" customFormat="false" ht="15" hidden="false" customHeight="false" outlineLevel="0" collapsed="false">
      <c r="A7" s="14" t="s">
        <v>85</v>
      </c>
      <c r="B7" s="15" t="n">
        <v>22</v>
      </c>
    </row>
    <row r="8" customFormat="false" ht="15" hidden="false" customHeight="false" outlineLevel="0" collapsed="false">
      <c r="A8" s="14" t="s">
        <v>86</v>
      </c>
      <c r="B8" s="16" t="n">
        <v>0.08</v>
      </c>
    </row>
    <row r="9" customFormat="false" ht="15" hidden="false" customHeight="false" outlineLevel="0" collapsed="false">
      <c r="A9" s="14" t="s">
        <v>87</v>
      </c>
      <c r="B9" s="16" t="n">
        <v>0.15</v>
      </c>
    </row>
    <row r="10" customFormat="false" ht="15" hidden="false" customHeight="false" outlineLevel="0" collapsed="false">
      <c r="A10" s="14" t="s">
        <v>88</v>
      </c>
      <c r="B10" s="15" t="n">
        <v>30</v>
      </c>
    </row>
    <row r="11" customFormat="false" ht="15" hidden="false" customHeight="false" outlineLevel="0" collapsed="false">
      <c r="A11" s="14" t="s">
        <v>89</v>
      </c>
      <c r="B11" s="15" t="n">
        <v>40</v>
      </c>
    </row>
    <row r="12" customFormat="false" ht="15" hidden="false" customHeight="false" outlineLevel="0" collapsed="false">
      <c r="A12" s="14" t="s">
        <v>90</v>
      </c>
      <c r="B12" s="17" t="n">
        <f aca="false">AVERAGE(B10:B11)</f>
        <v>35</v>
      </c>
    </row>
    <row r="13" customFormat="false" ht="42" hidden="false" customHeight="true" outlineLevel="0" collapsed="false">
      <c r="A13" s="14" t="s">
        <v>91</v>
      </c>
      <c r="B13" s="18" t="s">
        <v>183</v>
      </c>
    </row>
    <row r="15" customFormat="false" ht="15" hidden="false" customHeight="false" outlineLevel="0" collapsed="false">
      <c r="A15" s="13" t="s">
        <v>93</v>
      </c>
      <c r="B15" s="13"/>
      <c r="C15" s="13"/>
      <c r="D15" s="13"/>
      <c r="E15" s="13"/>
      <c r="F15" s="13"/>
      <c r="G15" s="13"/>
      <c r="H15" s="13"/>
      <c r="I15" s="13"/>
    </row>
    <row r="16" customFormat="false" ht="15" hidden="false" customHeight="false" outlineLevel="0" collapsed="false">
      <c r="A16" s="19" t="s">
        <v>2</v>
      </c>
      <c r="B16" s="19" t="s">
        <v>94</v>
      </c>
      <c r="C16" s="19" t="s">
        <v>95</v>
      </c>
    </row>
    <row r="17" customFormat="false" ht="15" hidden="false" customHeight="false" outlineLevel="0" collapsed="false">
      <c r="A17" s="20" t="s">
        <v>166</v>
      </c>
      <c r="B17" s="21" t="n">
        <v>20</v>
      </c>
      <c r="C17" s="22" t="s">
        <v>167</v>
      </c>
    </row>
    <row r="18" customFormat="false" ht="15" hidden="false" customHeight="false" outlineLevel="0" collapsed="false">
      <c r="A18" s="20" t="s">
        <v>168</v>
      </c>
      <c r="B18" s="21" t="n">
        <v>13</v>
      </c>
      <c r="C18" s="22" t="s">
        <v>169</v>
      </c>
    </row>
    <row r="19" customFormat="false" ht="15" hidden="false" customHeight="false" outlineLevel="0" collapsed="false">
      <c r="A19" s="20" t="s">
        <v>172</v>
      </c>
      <c r="B19" s="21" t="n">
        <v>7</v>
      </c>
      <c r="C19" s="22" t="s">
        <v>184</v>
      </c>
    </row>
    <row r="20" customFormat="false" ht="15" hidden="false" customHeight="false" outlineLevel="0" collapsed="false">
      <c r="A20" s="20" t="s">
        <v>174</v>
      </c>
      <c r="B20" s="21" t="n">
        <v>2</v>
      </c>
      <c r="C20" s="22" t="s">
        <v>175</v>
      </c>
    </row>
    <row r="23" customFormat="false" ht="15" hidden="false" customHeight="false" outlineLevel="0" collapsed="false">
      <c r="A23" s="13" t="s">
        <v>104</v>
      </c>
      <c r="B23" s="13"/>
      <c r="C23" s="13"/>
      <c r="D23" s="13"/>
      <c r="E23" s="13"/>
      <c r="F23" s="13"/>
      <c r="G23" s="13"/>
      <c r="H23" s="13"/>
      <c r="I23" s="13"/>
    </row>
    <row r="24" customFormat="false" ht="30" hidden="false" customHeight="true" outlineLevel="0" collapsed="false">
      <c r="A24" s="3" t="s">
        <v>105</v>
      </c>
      <c r="B24" s="3" t="s">
        <v>106</v>
      </c>
      <c r="C24" s="3" t="s">
        <v>107</v>
      </c>
      <c r="D24" s="3" t="s">
        <v>108</v>
      </c>
      <c r="E24" s="3" t="s">
        <v>109</v>
      </c>
      <c r="F24" s="3" t="s">
        <v>110</v>
      </c>
      <c r="G24" s="3" t="s">
        <v>111</v>
      </c>
      <c r="H24" s="3" t="s">
        <v>112</v>
      </c>
      <c r="I24" s="3" t="s">
        <v>113</v>
      </c>
    </row>
    <row r="25" customFormat="false" ht="15" hidden="false" customHeight="false" outlineLevel="0" collapsed="false">
      <c r="A25" s="20" t="s">
        <v>114</v>
      </c>
      <c r="B25" s="23" t="s">
        <v>117</v>
      </c>
      <c r="C25" s="24" t="n">
        <v>2</v>
      </c>
      <c r="D25" s="25" t="n">
        <v>4</v>
      </c>
      <c r="E25" s="26" t="n">
        <v>10</v>
      </c>
      <c r="F25" s="27" t="n">
        <f aca="false">D25*E25</f>
        <v>40</v>
      </c>
      <c r="G25" s="28" t="n">
        <f aca="false">F25/B12</f>
        <v>1.14285714285714</v>
      </c>
      <c r="H25" s="29" t="n">
        <f aca="false">G25-1</f>
        <v>0.142857142857143</v>
      </c>
      <c r="I25" s="29" t="n">
        <f aca="false">G25^(1/C25)-1</f>
        <v>0.0690449676496976</v>
      </c>
    </row>
    <row r="26" customFormat="false" ht="15" hidden="false" customHeight="false" outlineLevel="0" collapsed="false">
      <c r="A26" s="20" t="s">
        <v>116</v>
      </c>
      <c r="B26" s="23" t="s">
        <v>117</v>
      </c>
      <c r="C26" s="24" t="n">
        <v>2</v>
      </c>
      <c r="D26" s="25" t="n">
        <v>6</v>
      </c>
      <c r="E26" s="26" t="n">
        <v>12</v>
      </c>
      <c r="F26" s="27" t="n">
        <f aca="false">D26*E26</f>
        <v>72</v>
      </c>
      <c r="G26" s="28" t="n">
        <f aca="false">F26/B12</f>
        <v>2.05714285714286</v>
      </c>
      <c r="H26" s="29" t="n">
        <f aca="false">G26-1</f>
        <v>1.05714285714286</v>
      </c>
      <c r="I26" s="29" t="n">
        <f aca="false">G26^(1/C26)-1</f>
        <v>0.434274331201272</v>
      </c>
    </row>
    <row r="27" customFormat="false" ht="15" hidden="false" customHeight="false" outlineLevel="0" collapsed="false">
      <c r="A27" s="20" t="s">
        <v>118</v>
      </c>
      <c r="B27" s="23" t="s">
        <v>146</v>
      </c>
      <c r="C27" s="24" t="n">
        <v>3</v>
      </c>
      <c r="D27" s="25" t="n">
        <v>10</v>
      </c>
      <c r="E27" s="26" t="n">
        <v>15</v>
      </c>
      <c r="F27" s="27" t="n">
        <f aca="false">D27*E27</f>
        <v>150</v>
      </c>
      <c r="G27" s="28" t="n">
        <f aca="false">F27/B12</f>
        <v>4.28571428571429</v>
      </c>
      <c r="H27" s="29" t="n">
        <f aca="false">G27-1</f>
        <v>3.28571428571429</v>
      </c>
      <c r="I27" s="29" t="n">
        <f aca="false">G27^(1/C27)-1</f>
        <v>0.62433052162942</v>
      </c>
    </row>
    <row r="28" customFormat="false" ht="30" hidden="false" customHeight="true" outlineLevel="0" collapsed="false">
      <c r="A28" s="18" t="s">
        <v>185</v>
      </c>
    </row>
    <row r="30" customFormat="false" ht="15" hidden="false" customHeight="false" outlineLevel="0" collapsed="false">
      <c r="A30" s="13" t="s">
        <v>120</v>
      </c>
      <c r="B30" s="13"/>
      <c r="C30" s="13"/>
      <c r="D30" s="13"/>
      <c r="E30" s="13"/>
      <c r="F30" s="13"/>
      <c r="G30" s="13"/>
      <c r="H30" s="13"/>
      <c r="I30" s="13"/>
    </row>
    <row r="31" customFormat="false" ht="30" hidden="false" customHeight="true" outlineLevel="0" collapsed="false">
      <c r="A31" s="3" t="s">
        <v>105</v>
      </c>
      <c r="B31" s="3" t="s">
        <v>106</v>
      </c>
      <c r="C31" s="3" t="s">
        <v>107</v>
      </c>
      <c r="D31" s="3" t="s">
        <v>121</v>
      </c>
      <c r="E31" s="3" t="s">
        <v>110</v>
      </c>
      <c r="F31" s="3" t="s">
        <v>111</v>
      </c>
      <c r="G31" s="3" t="s">
        <v>112</v>
      </c>
      <c r="H31" s="3" t="s">
        <v>113</v>
      </c>
    </row>
    <row r="32" customFormat="false" ht="15" hidden="false" customHeight="false" outlineLevel="0" collapsed="false">
      <c r="A32" s="20" t="s">
        <v>114</v>
      </c>
      <c r="B32" s="23" t="s">
        <v>117</v>
      </c>
      <c r="C32" s="24" t="n">
        <v>2</v>
      </c>
      <c r="D32" s="5" t="s">
        <v>186</v>
      </c>
      <c r="E32" s="25" t="n">
        <v>40</v>
      </c>
      <c r="F32" s="28" t="n">
        <f aca="false">E32/B12</f>
        <v>1.14285714285714</v>
      </c>
      <c r="G32" s="29" t="n">
        <f aca="false">F32-1</f>
        <v>0.142857142857143</v>
      </c>
      <c r="H32" s="29" t="n">
        <f aca="false">F32^(1/C32)-1</f>
        <v>0.0690449676496976</v>
      </c>
    </row>
    <row r="33" customFormat="false" ht="23.85" hidden="false" customHeight="false" outlineLevel="0" collapsed="false">
      <c r="A33" s="20" t="s">
        <v>116</v>
      </c>
      <c r="B33" s="23" t="s">
        <v>117</v>
      </c>
      <c r="C33" s="24" t="n">
        <v>2</v>
      </c>
      <c r="D33" s="5" t="s">
        <v>187</v>
      </c>
      <c r="E33" s="25" t="n">
        <v>78</v>
      </c>
      <c r="F33" s="28" t="n">
        <f aca="false">E33/B12</f>
        <v>2.22857142857143</v>
      </c>
      <c r="G33" s="29" t="n">
        <f aca="false">F33-1</f>
        <v>1.22857142857143</v>
      </c>
      <c r="H33" s="29" t="n">
        <f aca="false">F33^(1/C33)-1</f>
        <v>0.492840054584358</v>
      </c>
    </row>
    <row r="34" customFormat="false" ht="15" hidden="false" customHeight="false" outlineLevel="0" collapsed="false">
      <c r="A34" s="20" t="s">
        <v>118</v>
      </c>
      <c r="B34" s="23" t="s">
        <v>146</v>
      </c>
      <c r="C34" s="24" t="n">
        <v>3</v>
      </c>
      <c r="D34" s="5" t="s">
        <v>188</v>
      </c>
      <c r="E34" s="25" t="n">
        <v>150</v>
      </c>
      <c r="F34" s="28" t="n">
        <f aca="false">E34/B12</f>
        <v>4.28571428571429</v>
      </c>
      <c r="G34" s="29" t="n">
        <f aca="false">F34-1</f>
        <v>3.28571428571429</v>
      </c>
      <c r="H34" s="29" t="n">
        <f aca="false">F34^(1/C34)-1</f>
        <v>0.62433052162942</v>
      </c>
    </row>
    <row r="35" customFormat="false" ht="15" hidden="false" customHeight="false" outlineLevel="0" collapsed="false">
      <c r="A35" s="13" t="s">
        <v>125</v>
      </c>
      <c r="B35" s="13"/>
      <c r="C35" s="13"/>
      <c r="D35" s="13"/>
      <c r="E35" s="13"/>
      <c r="F35" s="13"/>
      <c r="G35" s="13"/>
      <c r="H35" s="13"/>
      <c r="I35" s="13"/>
    </row>
    <row r="36" customFormat="false" ht="15" hidden="false" customHeight="false" outlineLevel="0" collapsed="false">
      <c r="A36" s="14" t="s">
        <v>126</v>
      </c>
      <c r="B36" s="17" t="n">
        <f aca="false">AVERAGE(F26,E33)</f>
        <v>75</v>
      </c>
    </row>
    <row r="37" customFormat="false" ht="15" hidden="false" customHeight="false" outlineLevel="0" collapsed="false">
      <c r="A37" s="14" t="s">
        <v>12</v>
      </c>
      <c r="B37" s="30" t="n">
        <f aca="false">B36/B12</f>
        <v>2.14285714285714</v>
      </c>
    </row>
    <row r="38" customFormat="false" ht="15" hidden="false" customHeight="false" outlineLevel="0" collapsed="false">
      <c r="A38" s="14" t="s">
        <v>13</v>
      </c>
      <c r="B38" s="31" t="n">
        <f aca="false">B37-1</f>
        <v>1.14285714285714</v>
      </c>
    </row>
    <row r="39" customFormat="false" ht="15" hidden="false" customHeight="false" outlineLevel="0" collapsed="false">
      <c r="A39" s="14" t="s">
        <v>127</v>
      </c>
      <c r="B39" s="31" t="n">
        <f aca="false">B37^(1/C26)-1</f>
        <v>0.4638501094228</v>
      </c>
    </row>
    <row r="40" customFormat="false" ht="15" hidden="false" customHeight="false" outlineLevel="0" collapsed="false">
      <c r="A40" s="14" t="s">
        <v>128</v>
      </c>
      <c r="B40" s="30" t="n">
        <f aca="false">MIN(G25,F32)</f>
        <v>1.14285714285714</v>
      </c>
      <c r="C40" s="30" t="n">
        <f aca="false">MAX(G27,F34)</f>
        <v>4.28571428571429</v>
      </c>
    </row>
    <row r="41" customFormat="false" ht="15" hidden="false" customHeight="false" outlineLevel="0" collapsed="false">
      <c r="A41" s="14" t="s">
        <v>129</v>
      </c>
      <c r="B41" s="30" t="n">
        <f aca="false">B36/B11</f>
        <v>1.875</v>
      </c>
    </row>
    <row r="43" customFormat="false" ht="15" hidden="false" customHeight="false" outlineLevel="0" collapsed="false">
      <c r="A43" s="13" t="s">
        <v>130</v>
      </c>
      <c r="B43" s="13"/>
      <c r="C43" s="13"/>
      <c r="D43" s="13"/>
      <c r="E43" s="13"/>
      <c r="F43" s="13"/>
      <c r="G43" s="13"/>
      <c r="H43" s="13"/>
      <c r="I43" s="13"/>
    </row>
    <row r="44" customFormat="false" ht="15" hidden="false" customHeight="false" outlineLevel="0" collapsed="false">
      <c r="A44" s="2" t="s">
        <v>189</v>
      </c>
    </row>
    <row r="45" customFormat="false" ht="15" hidden="false" customHeight="false" outlineLevel="0" collapsed="false">
      <c r="A45" s="2" t="s">
        <v>190</v>
      </c>
    </row>
    <row r="46" customFormat="false" ht="15" hidden="false" customHeight="false" outlineLevel="0" collapsed="false">
      <c r="A46" s="2" t="s">
        <v>191</v>
      </c>
    </row>
    <row r="47" customFormat="false" ht="15" hidden="false" customHeight="false" outlineLevel="0" collapsed="false">
      <c r="A47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36"/>
    <col collapsed="false" customWidth="true" hidden="false" outlineLevel="0" max="9" min="5" style="0" width="13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12" t="s">
        <v>38</v>
      </c>
    </row>
    <row r="4" customFormat="false" ht="15" hidden="false" customHeight="false" outlineLevel="0" collapsed="false">
      <c r="A4" s="13" t="s">
        <v>82</v>
      </c>
      <c r="B4" s="13"/>
      <c r="C4" s="13"/>
      <c r="D4" s="13"/>
      <c r="E4" s="13"/>
      <c r="F4" s="13"/>
      <c r="G4" s="13"/>
      <c r="H4" s="13"/>
      <c r="I4" s="13"/>
    </row>
    <row r="5" customFormat="false" ht="15" hidden="false" customHeight="false" outlineLevel="0" collapsed="false">
      <c r="A5" s="14" t="s">
        <v>83</v>
      </c>
      <c r="B5" s="14" t="s">
        <v>39</v>
      </c>
    </row>
    <row r="6" customFormat="false" ht="15" hidden="false" customHeight="false" outlineLevel="0" collapsed="false">
      <c r="A6" s="14" t="s">
        <v>84</v>
      </c>
      <c r="B6" s="15" t="n">
        <v>1</v>
      </c>
    </row>
    <row r="7" customFormat="false" ht="15" hidden="false" customHeight="false" outlineLevel="0" collapsed="false">
      <c r="A7" s="14" t="s">
        <v>192</v>
      </c>
      <c r="B7" s="15" t="n">
        <v>3.5</v>
      </c>
    </row>
    <row r="8" customFormat="false" ht="15" hidden="false" customHeight="false" outlineLevel="0" collapsed="false">
      <c r="A8" s="14" t="s">
        <v>86</v>
      </c>
      <c r="B8" s="16" t="n">
        <v>0.08</v>
      </c>
    </row>
    <row r="9" customFormat="false" ht="15" hidden="false" customHeight="false" outlineLevel="0" collapsed="false">
      <c r="A9" s="14" t="s">
        <v>87</v>
      </c>
      <c r="B9" s="16" t="n">
        <v>0.15</v>
      </c>
    </row>
    <row r="10" customFormat="false" ht="15" hidden="false" customHeight="false" outlineLevel="0" collapsed="false">
      <c r="A10" s="14" t="s">
        <v>88</v>
      </c>
      <c r="B10" s="15" t="n">
        <v>4.5</v>
      </c>
    </row>
    <row r="11" customFormat="false" ht="15" hidden="false" customHeight="false" outlineLevel="0" collapsed="false">
      <c r="A11" s="14" t="s">
        <v>89</v>
      </c>
      <c r="B11" s="15" t="n">
        <v>5</v>
      </c>
    </row>
    <row r="12" customFormat="false" ht="15" hidden="false" customHeight="false" outlineLevel="0" collapsed="false">
      <c r="A12" s="14" t="s">
        <v>90</v>
      </c>
      <c r="B12" s="17" t="n">
        <f aca="false">AVERAGE(B10:B11)</f>
        <v>4.75</v>
      </c>
    </row>
    <row r="13" customFormat="false" ht="42" hidden="false" customHeight="true" outlineLevel="0" collapsed="false">
      <c r="A13" s="14" t="s">
        <v>91</v>
      </c>
      <c r="B13" s="18" t="s">
        <v>193</v>
      </c>
    </row>
    <row r="15" customFormat="false" ht="15" hidden="false" customHeight="false" outlineLevel="0" collapsed="false">
      <c r="A15" s="13" t="s">
        <v>93</v>
      </c>
      <c r="B15" s="13"/>
      <c r="C15" s="13"/>
      <c r="D15" s="13"/>
      <c r="E15" s="13"/>
      <c r="F15" s="13"/>
      <c r="G15" s="13"/>
      <c r="H15" s="13"/>
      <c r="I15" s="13"/>
    </row>
    <row r="16" customFormat="false" ht="15" hidden="false" customHeight="false" outlineLevel="0" collapsed="false">
      <c r="A16" s="19" t="s">
        <v>2</v>
      </c>
      <c r="B16" s="19" t="s">
        <v>94</v>
      </c>
      <c r="C16" s="19" t="s">
        <v>95</v>
      </c>
    </row>
    <row r="17" customFormat="false" ht="15" hidden="false" customHeight="false" outlineLevel="0" collapsed="false">
      <c r="A17" s="20" t="s">
        <v>98</v>
      </c>
      <c r="B17" s="21" t="n">
        <v>20.6</v>
      </c>
      <c r="C17" s="22" t="s">
        <v>167</v>
      </c>
    </row>
    <row r="18" customFormat="false" ht="15" hidden="false" customHeight="false" outlineLevel="0" collapsed="false">
      <c r="A18" s="20" t="s">
        <v>194</v>
      </c>
      <c r="B18" s="21" t="n">
        <v>24.5</v>
      </c>
      <c r="C18" s="22" t="s">
        <v>167</v>
      </c>
    </row>
    <row r="19" customFormat="false" ht="15" hidden="false" customHeight="false" outlineLevel="0" collapsed="false">
      <c r="A19" s="20" t="s">
        <v>195</v>
      </c>
      <c r="B19" s="21" t="n">
        <v>18</v>
      </c>
      <c r="C19" s="22" t="s">
        <v>167</v>
      </c>
    </row>
    <row r="20" customFormat="false" ht="15" hidden="false" customHeight="false" outlineLevel="0" collapsed="false">
      <c r="A20" s="20" t="s">
        <v>196</v>
      </c>
      <c r="B20" s="21" t="n">
        <v>16.9</v>
      </c>
      <c r="C20" s="22" t="s">
        <v>167</v>
      </c>
    </row>
    <row r="23" customFormat="false" ht="15" hidden="false" customHeight="false" outlineLevel="0" collapsed="false">
      <c r="A23" s="13" t="s">
        <v>104</v>
      </c>
      <c r="B23" s="13"/>
      <c r="C23" s="13"/>
      <c r="D23" s="13"/>
      <c r="E23" s="13"/>
      <c r="F23" s="13"/>
      <c r="G23" s="13"/>
      <c r="H23" s="13"/>
      <c r="I23" s="13"/>
    </row>
    <row r="24" customFormat="false" ht="30" hidden="false" customHeight="true" outlineLevel="0" collapsed="false">
      <c r="A24" s="3" t="s">
        <v>105</v>
      </c>
      <c r="B24" s="3" t="s">
        <v>106</v>
      </c>
      <c r="C24" s="3" t="s">
        <v>107</v>
      </c>
      <c r="D24" s="3" t="s">
        <v>108</v>
      </c>
      <c r="E24" s="3" t="s">
        <v>109</v>
      </c>
      <c r="F24" s="3" t="s">
        <v>110</v>
      </c>
      <c r="G24" s="3" t="s">
        <v>111</v>
      </c>
      <c r="H24" s="3" t="s">
        <v>112</v>
      </c>
      <c r="I24" s="3" t="s">
        <v>113</v>
      </c>
    </row>
    <row r="25" customFormat="false" ht="15" hidden="false" customHeight="false" outlineLevel="0" collapsed="false">
      <c r="A25" s="20" t="s">
        <v>114</v>
      </c>
      <c r="B25" s="23" t="s">
        <v>146</v>
      </c>
      <c r="C25" s="24" t="n">
        <v>3</v>
      </c>
      <c r="D25" s="25" t="n">
        <v>0.6</v>
      </c>
      <c r="E25" s="26" t="n">
        <v>15</v>
      </c>
      <c r="F25" s="27" t="n">
        <f aca="false">D25*E25</f>
        <v>9</v>
      </c>
      <c r="G25" s="28" t="n">
        <f aca="false">F25/B12</f>
        <v>1.89473684210526</v>
      </c>
      <c r="H25" s="29" t="n">
        <f aca="false">G25-1</f>
        <v>0.894736842105263</v>
      </c>
      <c r="I25" s="29" t="n">
        <f aca="false">G25^(1/C25)-1</f>
        <v>0.237417631815703</v>
      </c>
    </row>
    <row r="26" customFormat="false" ht="15" hidden="false" customHeight="false" outlineLevel="0" collapsed="false">
      <c r="A26" s="20" t="s">
        <v>116</v>
      </c>
      <c r="B26" s="23" t="s">
        <v>147</v>
      </c>
      <c r="C26" s="24" t="n">
        <v>3.5</v>
      </c>
      <c r="D26" s="25" t="n">
        <v>1.4</v>
      </c>
      <c r="E26" s="26" t="n">
        <v>17</v>
      </c>
      <c r="F26" s="27" t="n">
        <f aca="false">D26*E26</f>
        <v>23.8</v>
      </c>
      <c r="G26" s="28" t="n">
        <f aca="false">F26/B12</f>
        <v>5.01052631578947</v>
      </c>
      <c r="H26" s="29" t="n">
        <f aca="false">G26-1</f>
        <v>4.01052631578947</v>
      </c>
      <c r="I26" s="29" t="n">
        <f aca="false">G26^(1/C26)-1</f>
        <v>0.584771566780115</v>
      </c>
    </row>
    <row r="27" customFormat="false" ht="15" hidden="false" customHeight="false" outlineLevel="0" collapsed="false">
      <c r="A27" s="20" t="s">
        <v>118</v>
      </c>
      <c r="B27" s="23" t="s">
        <v>197</v>
      </c>
      <c r="C27" s="24" t="n">
        <v>4.5</v>
      </c>
      <c r="D27" s="25" t="n">
        <v>2</v>
      </c>
      <c r="E27" s="26" t="n">
        <v>18</v>
      </c>
      <c r="F27" s="27" t="n">
        <f aca="false">D27*E27</f>
        <v>36</v>
      </c>
      <c r="G27" s="28" t="n">
        <f aca="false">F27/B12</f>
        <v>7.57894736842105</v>
      </c>
      <c r="H27" s="29" t="n">
        <f aca="false">G27-1</f>
        <v>6.57894736842105</v>
      </c>
      <c r="I27" s="29" t="n">
        <f aca="false">G27^(1/C27)-1</f>
        <v>0.568442646751593</v>
      </c>
    </row>
    <row r="28" customFormat="false" ht="30" hidden="false" customHeight="true" outlineLevel="0" collapsed="false">
      <c r="A28" s="18" t="s">
        <v>198</v>
      </c>
    </row>
    <row r="30" customFormat="false" ht="15" hidden="false" customHeight="false" outlineLevel="0" collapsed="false">
      <c r="A30" s="13" t="s">
        <v>120</v>
      </c>
      <c r="B30" s="13"/>
      <c r="C30" s="13"/>
      <c r="D30" s="13"/>
      <c r="E30" s="13"/>
      <c r="F30" s="13"/>
      <c r="G30" s="13"/>
      <c r="H30" s="13"/>
      <c r="I30" s="13"/>
    </row>
    <row r="31" customFormat="false" ht="30" hidden="false" customHeight="true" outlineLevel="0" collapsed="false">
      <c r="A31" s="3" t="s">
        <v>105</v>
      </c>
      <c r="B31" s="3" t="s">
        <v>106</v>
      </c>
      <c r="C31" s="3" t="s">
        <v>107</v>
      </c>
      <c r="D31" s="3" t="s">
        <v>121</v>
      </c>
      <c r="E31" s="3" t="s">
        <v>110</v>
      </c>
      <c r="F31" s="3" t="s">
        <v>111</v>
      </c>
      <c r="G31" s="3" t="s">
        <v>112</v>
      </c>
      <c r="H31" s="3" t="s">
        <v>113</v>
      </c>
    </row>
    <row r="32" customFormat="false" ht="15" hidden="false" customHeight="false" outlineLevel="0" collapsed="false">
      <c r="A32" s="20" t="s">
        <v>114</v>
      </c>
      <c r="B32" s="23" t="s">
        <v>146</v>
      </c>
      <c r="C32" s="24" t="n">
        <v>3</v>
      </c>
      <c r="D32" s="5" t="s">
        <v>199</v>
      </c>
      <c r="E32" s="25" t="n">
        <v>5</v>
      </c>
      <c r="F32" s="28" t="n">
        <f aca="false">E32/B12</f>
        <v>1.05263157894737</v>
      </c>
      <c r="G32" s="29" t="n">
        <f aca="false">F32-1</f>
        <v>0.0526315789473684</v>
      </c>
      <c r="H32" s="29" t="n">
        <f aca="false">F32^(1/C32)-1</f>
        <v>0.017244768191101</v>
      </c>
    </row>
    <row r="33" customFormat="false" ht="23.85" hidden="false" customHeight="false" outlineLevel="0" collapsed="false">
      <c r="A33" s="20" t="s">
        <v>116</v>
      </c>
      <c r="B33" s="23" t="s">
        <v>147</v>
      </c>
      <c r="C33" s="24" t="n">
        <v>3.5</v>
      </c>
      <c r="D33" s="5" t="s">
        <v>200</v>
      </c>
      <c r="E33" s="25" t="n">
        <v>24.2</v>
      </c>
      <c r="F33" s="28" t="n">
        <f aca="false">E33/B12</f>
        <v>5.09473684210526</v>
      </c>
      <c r="G33" s="29" t="n">
        <f aca="false">F33-1</f>
        <v>4.09473684210526</v>
      </c>
      <c r="H33" s="29" t="n">
        <f aca="false">F33^(1/C33)-1</f>
        <v>0.592336270065984</v>
      </c>
    </row>
    <row r="34" customFormat="false" ht="15" hidden="false" customHeight="false" outlineLevel="0" collapsed="false">
      <c r="A34" s="20" t="s">
        <v>118</v>
      </c>
      <c r="B34" s="23" t="s">
        <v>197</v>
      </c>
      <c r="C34" s="24" t="n">
        <v>4.5</v>
      </c>
      <c r="D34" s="5" t="s">
        <v>201</v>
      </c>
      <c r="E34" s="25" t="n">
        <v>40</v>
      </c>
      <c r="F34" s="28" t="n">
        <f aca="false">E34/B12</f>
        <v>8.42105263157895</v>
      </c>
      <c r="G34" s="29" t="n">
        <f aca="false">F34-1</f>
        <v>7.42105263157895</v>
      </c>
      <c r="H34" s="29" t="n">
        <f aca="false">F34^(1/C34)-1</f>
        <v>0.605598573805891</v>
      </c>
    </row>
    <row r="35" customFormat="false" ht="15" hidden="false" customHeight="false" outlineLevel="0" collapsed="false">
      <c r="A35" s="13" t="s">
        <v>125</v>
      </c>
      <c r="B35" s="13"/>
      <c r="C35" s="13"/>
      <c r="D35" s="13"/>
      <c r="E35" s="13"/>
      <c r="F35" s="13"/>
      <c r="G35" s="13"/>
      <c r="H35" s="13"/>
      <c r="I35" s="13"/>
    </row>
    <row r="36" customFormat="false" ht="15" hidden="false" customHeight="false" outlineLevel="0" collapsed="false">
      <c r="A36" s="14" t="s">
        <v>126</v>
      </c>
      <c r="B36" s="17" t="n">
        <f aca="false">AVERAGE(F26,E33)</f>
        <v>24</v>
      </c>
    </row>
    <row r="37" customFormat="false" ht="15" hidden="false" customHeight="false" outlineLevel="0" collapsed="false">
      <c r="A37" s="14" t="s">
        <v>12</v>
      </c>
      <c r="B37" s="30" t="n">
        <f aca="false">B36/B12</f>
        <v>5.05263157894737</v>
      </c>
    </row>
    <row r="38" customFormat="false" ht="15" hidden="false" customHeight="false" outlineLevel="0" collapsed="false">
      <c r="A38" s="14" t="s">
        <v>13</v>
      </c>
      <c r="B38" s="31" t="n">
        <f aca="false">B37-1</f>
        <v>4.05263157894737</v>
      </c>
    </row>
    <row r="39" customFormat="false" ht="15" hidden="false" customHeight="false" outlineLevel="0" collapsed="false">
      <c r="A39" s="14" t="s">
        <v>127</v>
      </c>
      <c r="B39" s="31" t="n">
        <f aca="false">B37^(1/C26)-1</f>
        <v>0.588565175565576</v>
      </c>
    </row>
    <row r="40" customFormat="false" ht="15" hidden="false" customHeight="false" outlineLevel="0" collapsed="false">
      <c r="A40" s="14" t="s">
        <v>128</v>
      </c>
      <c r="B40" s="30" t="n">
        <f aca="false">MIN(G25,F32)</f>
        <v>1.05263157894737</v>
      </c>
      <c r="C40" s="30" t="n">
        <f aca="false">MAX(G27,F34)</f>
        <v>8.42105263157895</v>
      </c>
    </row>
    <row r="41" customFormat="false" ht="15" hidden="false" customHeight="false" outlineLevel="0" collapsed="false">
      <c r="A41" s="14" t="s">
        <v>129</v>
      </c>
      <c r="B41" s="30" t="n">
        <f aca="false">B36/B11</f>
        <v>4.8</v>
      </c>
    </row>
    <row r="43" customFormat="false" ht="15" hidden="false" customHeight="false" outlineLevel="0" collapsed="false">
      <c r="A43" s="13" t="s">
        <v>130</v>
      </c>
      <c r="B43" s="13"/>
      <c r="C43" s="13"/>
      <c r="D43" s="13"/>
      <c r="E43" s="13"/>
      <c r="F43" s="13"/>
      <c r="G43" s="13"/>
      <c r="H43" s="13"/>
      <c r="I43" s="13"/>
    </row>
    <row r="44" customFormat="false" ht="15" hidden="false" customHeight="false" outlineLevel="0" collapsed="false">
      <c r="A44" s="2" t="s">
        <v>202</v>
      </c>
    </row>
    <row r="45" customFormat="false" ht="15" hidden="false" customHeight="false" outlineLevel="0" collapsed="false">
      <c r="A45" s="2" t="s">
        <v>203</v>
      </c>
    </row>
    <row r="46" customFormat="false" ht="15" hidden="false" customHeight="false" outlineLevel="0" collapsed="false">
      <c r="A46" s="2" t="s">
        <v>204</v>
      </c>
    </row>
    <row r="47" customFormat="false" ht="15" hidden="false" customHeight="false" outlineLevel="0" collapsed="false">
      <c r="A47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36"/>
    <col collapsed="false" customWidth="true" hidden="false" outlineLevel="0" max="9" min="5" style="0" width="13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12" t="s">
        <v>42</v>
      </c>
    </row>
    <row r="4" customFormat="false" ht="15" hidden="false" customHeight="false" outlineLevel="0" collapsed="false">
      <c r="A4" s="13" t="s">
        <v>82</v>
      </c>
      <c r="B4" s="13"/>
      <c r="C4" s="13"/>
      <c r="D4" s="13"/>
      <c r="E4" s="13"/>
      <c r="F4" s="13"/>
      <c r="G4" s="13"/>
      <c r="H4" s="13"/>
      <c r="I4" s="13"/>
    </row>
    <row r="5" customFormat="false" ht="15" hidden="false" customHeight="false" outlineLevel="0" collapsed="false">
      <c r="A5" s="14" t="s">
        <v>83</v>
      </c>
      <c r="B5" s="14" t="s">
        <v>43</v>
      </c>
    </row>
    <row r="6" customFormat="false" ht="15" hidden="false" customHeight="false" outlineLevel="0" collapsed="false">
      <c r="A6" s="14" t="s">
        <v>84</v>
      </c>
      <c r="B6" s="15" t="n">
        <v>190</v>
      </c>
    </row>
    <row r="7" customFormat="false" ht="15" hidden="false" customHeight="false" outlineLevel="0" collapsed="false">
      <c r="A7" s="14" t="s">
        <v>85</v>
      </c>
      <c r="B7" s="15" t="n">
        <v>190</v>
      </c>
    </row>
    <row r="8" customFormat="false" ht="15" hidden="false" customHeight="false" outlineLevel="0" collapsed="false">
      <c r="A8" s="14" t="s">
        <v>86</v>
      </c>
      <c r="B8" s="16" t="n">
        <v>0.08</v>
      </c>
    </row>
    <row r="9" customFormat="false" ht="15" hidden="false" customHeight="false" outlineLevel="0" collapsed="false">
      <c r="A9" s="14" t="s">
        <v>87</v>
      </c>
      <c r="B9" s="16" t="n">
        <v>0.15</v>
      </c>
    </row>
    <row r="10" customFormat="false" ht="15" hidden="false" customHeight="false" outlineLevel="0" collapsed="false">
      <c r="A10" s="14" t="s">
        <v>88</v>
      </c>
      <c r="B10" s="15" t="n">
        <v>195</v>
      </c>
    </row>
    <row r="11" customFormat="false" ht="15" hidden="false" customHeight="false" outlineLevel="0" collapsed="false">
      <c r="A11" s="14" t="s">
        <v>89</v>
      </c>
      <c r="B11" s="15" t="n">
        <v>210</v>
      </c>
    </row>
    <row r="12" customFormat="false" ht="15" hidden="false" customHeight="false" outlineLevel="0" collapsed="false">
      <c r="A12" s="14" t="s">
        <v>90</v>
      </c>
      <c r="B12" s="17" t="n">
        <f aca="false">AVERAGE(B10:B11)</f>
        <v>202.5</v>
      </c>
    </row>
    <row r="13" customFormat="false" ht="42" hidden="false" customHeight="true" outlineLevel="0" collapsed="false">
      <c r="A13" s="14" t="s">
        <v>91</v>
      </c>
      <c r="B13" s="18" t="s">
        <v>205</v>
      </c>
    </row>
    <row r="15" customFormat="false" ht="15" hidden="false" customHeight="false" outlineLevel="0" collapsed="false">
      <c r="A15" s="13" t="s">
        <v>93</v>
      </c>
      <c r="B15" s="13"/>
      <c r="C15" s="13"/>
      <c r="D15" s="13"/>
      <c r="E15" s="13"/>
      <c r="F15" s="13"/>
      <c r="G15" s="13"/>
      <c r="H15" s="13"/>
      <c r="I15" s="13"/>
    </row>
    <row r="16" customFormat="false" ht="15" hidden="false" customHeight="false" outlineLevel="0" collapsed="false">
      <c r="A16" s="19" t="s">
        <v>2</v>
      </c>
      <c r="B16" s="19" t="s">
        <v>94</v>
      </c>
      <c r="C16" s="19" t="s">
        <v>95</v>
      </c>
    </row>
    <row r="17" customFormat="false" ht="15" hidden="false" customHeight="false" outlineLevel="0" collapsed="false">
      <c r="A17" s="20" t="s">
        <v>206</v>
      </c>
      <c r="B17" s="21" t="n">
        <v>21</v>
      </c>
      <c r="C17" s="22" t="s">
        <v>207</v>
      </c>
    </row>
    <row r="18" customFormat="false" ht="15" hidden="false" customHeight="false" outlineLevel="0" collapsed="false">
      <c r="A18" s="20" t="s">
        <v>102</v>
      </c>
      <c r="B18" s="21" t="n">
        <v>61</v>
      </c>
      <c r="C18" s="22" t="s">
        <v>208</v>
      </c>
    </row>
    <row r="19" customFormat="false" ht="15" hidden="false" customHeight="false" outlineLevel="0" collapsed="false">
      <c r="A19" s="20" t="s">
        <v>209</v>
      </c>
      <c r="B19" s="21" t="n">
        <v>10</v>
      </c>
      <c r="C19" s="22" t="s">
        <v>210</v>
      </c>
    </row>
    <row r="20" customFormat="false" ht="15" hidden="false" customHeight="false" outlineLevel="0" collapsed="false">
      <c r="A20" s="20" t="s">
        <v>96</v>
      </c>
      <c r="B20" s="21" t="n">
        <v>10.5</v>
      </c>
      <c r="C20" s="22" t="s">
        <v>211</v>
      </c>
    </row>
    <row r="23" customFormat="false" ht="15" hidden="false" customHeight="false" outlineLevel="0" collapsed="false">
      <c r="A23" s="13" t="s">
        <v>104</v>
      </c>
      <c r="B23" s="13"/>
      <c r="C23" s="13"/>
      <c r="D23" s="13"/>
      <c r="E23" s="13"/>
      <c r="F23" s="13"/>
      <c r="G23" s="13"/>
      <c r="H23" s="13"/>
      <c r="I23" s="13"/>
    </row>
    <row r="24" customFormat="false" ht="30" hidden="false" customHeight="true" outlineLevel="0" collapsed="false">
      <c r="A24" s="3" t="s">
        <v>105</v>
      </c>
      <c r="B24" s="3" t="s">
        <v>106</v>
      </c>
      <c r="C24" s="3" t="s">
        <v>107</v>
      </c>
      <c r="D24" s="3" t="s">
        <v>108</v>
      </c>
      <c r="E24" s="3" t="s">
        <v>109</v>
      </c>
      <c r="F24" s="3" t="s">
        <v>110</v>
      </c>
      <c r="G24" s="3" t="s">
        <v>111</v>
      </c>
      <c r="H24" s="3" t="s">
        <v>112</v>
      </c>
      <c r="I24" s="3" t="s">
        <v>113</v>
      </c>
    </row>
    <row r="25" customFormat="false" ht="15" hidden="false" customHeight="false" outlineLevel="0" collapsed="false">
      <c r="A25" s="20" t="s">
        <v>114</v>
      </c>
      <c r="B25" s="23" t="s">
        <v>117</v>
      </c>
      <c r="C25" s="24" t="n">
        <v>2</v>
      </c>
      <c r="D25" s="25" t="n">
        <v>14</v>
      </c>
      <c r="E25" s="26" t="n">
        <v>18</v>
      </c>
      <c r="F25" s="27" t="n">
        <f aca="false">D25*E25</f>
        <v>252</v>
      </c>
      <c r="G25" s="28" t="n">
        <f aca="false">F25/B12</f>
        <v>1.24444444444444</v>
      </c>
      <c r="H25" s="29" t="n">
        <f aca="false">G25-1</f>
        <v>0.244444444444444</v>
      </c>
      <c r="I25" s="29" t="n">
        <f aca="false">G25^(1/C25)-1</f>
        <v>0.115546702045434</v>
      </c>
    </row>
    <row r="26" customFormat="false" ht="15" hidden="false" customHeight="false" outlineLevel="0" collapsed="false">
      <c r="A26" s="20" t="s">
        <v>116</v>
      </c>
      <c r="B26" s="23" t="s">
        <v>117</v>
      </c>
      <c r="C26" s="24" t="n">
        <v>2</v>
      </c>
      <c r="D26" s="25" t="n">
        <v>16</v>
      </c>
      <c r="E26" s="26" t="n">
        <v>26.5</v>
      </c>
      <c r="F26" s="27" t="n">
        <f aca="false">D26*E26</f>
        <v>424</v>
      </c>
      <c r="G26" s="28" t="n">
        <f aca="false">F26/B12</f>
        <v>2.09382716049383</v>
      </c>
      <c r="H26" s="29" t="n">
        <f aca="false">G26-1</f>
        <v>1.09382716049383</v>
      </c>
      <c r="I26" s="29" t="n">
        <f aca="false">G26^(1/C26)-1</f>
        <v>0.447006275208863</v>
      </c>
    </row>
    <row r="27" customFormat="false" ht="15" hidden="false" customHeight="false" outlineLevel="0" collapsed="false">
      <c r="A27" s="20" t="s">
        <v>118</v>
      </c>
      <c r="B27" s="23" t="s">
        <v>146</v>
      </c>
      <c r="C27" s="24" t="n">
        <v>3</v>
      </c>
      <c r="D27" s="25" t="n">
        <v>25</v>
      </c>
      <c r="E27" s="26" t="n">
        <v>25</v>
      </c>
      <c r="F27" s="27" t="n">
        <f aca="false">D27*E27</f>
        <v>625</v>
      </c>
      <c r="G27" s="28" t="n">
        <f aca="false">F27/B12</f>
        <v>3.08641975308642</v>
      </c>
      <c r="H27" s="29" t="n">
        <f aca="false">G27-1</f>
        <v>2.08641975308642</v>
      </c>
      <c r="I27" s="29" t="n">
        <f aca="false">G27^(1/C27)-1</f>
        <v>0.455967441227165</v>
      </c>
    </row>
    <row r="28" customFormat="false" ht="30" hidden="false" customHeight="true" outlineLevel="0" collapsed="false">
      <c r="A28" s="18" t="s">
        <v>212</v>
      </c>
    </row>
    <row r="30" customFormat="false" ht="15" hidden="false" customHeight="false" outlineLevel="0" collapsed="false">
      <c r="A30" s="13" t="s">
        <v>120</v>
      </c>
      <c r="B30" s="13"/>
      <c r="C30" s="13"/>
      <c r="D30" s="13"/>
      <c r="E30" s="13"/>
      <c r="F30" s="13"/>
      <c r="G30" s="13"/>
      <c r="H30" s="13"/>
      <c r="I30" s="13"/>
    </row>
    <row r="31" customFormat="false" ht="30" hidden="false" customHeight="true" outlineLevel="0" collapsed="false">
      <c r="A31" s="3" t="s">
        <v>105</v>
      </c>
      <c r="B31" s="3" t="s">
        <v>106</v>
      </c>
      <c r="C31" s="3" t="s">
        <v>107</v>
      </c>
      <c r="D31" s="3" t="s">
        <v>121</v>
      </c>
      <c r="E31" s="3" t="s">
        <v>110</v>
      </c>
      <c r="F31" s="3" t="s">
        <v>111</v>
      </c>
      <c r="G31" s="3" t="s">
        <v>112</v>
      </c>
      <c r="H31" s="3" t="s">
        <v>113</v>
      </c>
    </row>
    <row r="32" customFormat="false" ht="15" hidden="false" customHeight="false" outlineLevel="0" collapsed="false">
      <c r="A32" s="20" t="s">
        <v>114</v>
      </c>
      <c r="B32" s="23" t="s">
        <v>117</v>
      </c>
      <c r="C32" s="24" t="n">
        <v>2</v>
      </c>
      <c r="D32" s="5" t="s">
        <v>213</v>
      </c>
      <c r="E32" s="25" t="n">
        <v>190</v>
      </c>
      <c r="F32" s="28" t="n">
        <f aca="false">E32/B12</f>
        <v>0.938271604938272</v>
      </c>
      <c r="G32" s="29" t="n">
        <f aca="false">F32-1</f>
        <v>-0.0617283950617285</v>
      </c>
      <c r="H32" s="29" t="n">
        <f aca="false">F32^(1/C32)-1</f>
        <v>-0.0313557903242948</v>
      </c>
    </row>
    <row r="33" customFormat="false" ht="23.85" hidden="false" customHeight="false" outlineLevel="0" collapsed="false">
      <c r="A33" s="20" t="s">
        <v>116</v>
      </c>
      <c r="B33" s="23" t="s">
        <v>117</v>
      </c>
      <c r="C33" s="24" t="n">
        <v>2</v>
      </c>
      <c r="D33" s="5" t="s">
        <v>214</v>
      </c>
      <c r="E33" s="25" t="n">
        <v>426</v>
      </c>
      <c r="F33" s="28" t="n">
        <f aca="false">E33/B12</f>
        <v>2.1037037037037</v>
      </c>
      <c r="G33" s="29" t="n">
        <f aca="false">F33-1</f>
        <v>1.1037037037037</v>
      </c>
      <c r="H33" s="29" t="n">
        <f aca="false">F33^(1/C33)-1</f>
        <v>0.45041501085162</v>
      </c>
    </row>
    <row r="34" customFormat="false" ht="15" hidden="false" customHeight="false" outlineLevel="0" collapsed="false">
      <c r="A34" s="20" t="s">
        <v>118</v>
      </c>
      <c r="B34" s="23" t="s">
        <v>146</v>
      </c>
      <c r="C34" s="24" t="n">
        <v>3</v>
      </c>
      <c r="D34" s="5" t="s">
        <v>215</v>
      </c>
      <c r="E34" s="25" t="n">
        <v>600</v>
      </c>
      <c r="F34" s="28" t="n">
        <f aca="false">E34/B12</f>
        <v>2.96296296296296</v>
      </c>
      <c r="G34" s="29" t="n">
        <f aca="false">F34-1</f>
        <v>1.96296296296296</v>
      </c>
      <c r="H34" s="29" t="n">
        <f aca="false">F34^(1/C34)-1</f>
        <v>0.436289793354589</v>
      </c>
    </row>
    <row r="35" customFormat="false" ht="15" hidden="false" customHeight="false" outlineLevel="0" collapsed="false">
      <c r="A35" s="13" t="s">
        <v>125</v>
      </c>
      <c r="B35" s="13"/>
      <c r="C35" s="13"/>
      <c r="D35" s="13"/>
      <c r="E35" s="13"/>
      <c r="F35" s="13"/>
      <c r="G35" s="13"/>
      <c r="H35" s="13"/>
      <c r="I35" s="13"/>
    </row>
    <row r="36" customFormat="false" ht="15" hidden="false" customHeight="false" outlineLevel="0" collapsed="false">
      <c r="A36" s="14" t="s">
        <v>126</v>
      </c>
      <c r="B36" s="17" t="n">
        <f aca="false">AVERAGE(F26,E33)</f>
        <v>425</v>
      </c>
    </row>
    <row r="37" customFormat="false" ht="15" hidden="false" customHeight="false" outlineLevel="0" collapsed="false">
      <c r="A37" s="14" t="s">
        <v>12</v>
      </c>
      <c r="B37" s="30" t="n">
        <f aca="false">B36/B12</f>
        <v>2.09876543209877</v>
      </c>
    </row>
    <row r="38" customFormat="false" ht="15" hidden="false" customHeight="false" outlineLevel="0" collapsed="false">
      <c r="A38" s="14" t="s">
        <v>13</v>
      </c>
      <c r="B38" s="31" t="n">
        <f aca="false">B37-1</f>
        <v>1.09876543209877</v>
      </c>
    </row>
    <row r="39" customFormat="false" ht="15" hidden="false" customHeight="false" outlineLevel="0" collapsed="false">
      <c r="A39" s="14" t="s">
        <v>127</v>
      </c>
      <c r="B39" s="31" t="n">
        <f aca="false">B37^(1/C26)-1</f>
        <v>0.448711645600589</v>
      </c>
    </row>
    <row r="40" customFormat="false" ht="15" hidden="false" customHeight="false" outlineLevel="0" collapsed="false">
      <c r="A40" s="14" t="s">
        <v>128</v>
      </c>
      <c r="B40" s="30" t="n">
        <f aca="false">MIN(G25,F32)</f>
        <v>0.938271604938272</v>
      </c>
      <c r="C40" s="30" t="n">
        <f aca="false">MAX(G27,F34)</f>
        <v>3.08641975308642</v>
      </c>
    </row>
    <row r="41" customFormat="false" ht="15" hidden="false" customHeight="false" outlineLevel="0" collapsed="false">
      <c r="A41" s="14" t="s">
        <v>129</v>
      </c>
      <c r="B41" s="30" t="n">
        <f aca="false">B36/B11</f>
        <v>2.02380952380952</v>
      </c>
    </row>
    <row r="43" customFormat="false" ht="15" hidden="false" customHeight="false" outlineLevel="0" collapsed="false">
      <c r="A43" s="13" t="s">
        <v>130</v>
      </c>
      <c r="B43" s="13"/>
      <c r="C43" s="13"/>
      <c r="D43" s="13"/>
      <c r="E43" s="13"/>
      <c r="F43" s="13"/>
      <c r="G43" s="13"/>
      <c r="H43" s="13"/>
      <c r="I43" s="13"/>
    </row>
    <row r="44" customFormat="false" ht="15" hidden="false" customHeight="false" outlineLevel="0" collapsed="false">
      <c r="A44" s="2" t="s">
        <v>216</v>
      </c>
    </row>
    <row r="45" customFormat="false" ht="15" hidden="false" customHeight="false" outlineLevel="0" collapsed="false">
      <c r="A45" s="2" t="s">
        <v>217</v>
      </c>
    </row>
    <row r="46" customFormat="false" ht="15" hidden="false" customHeight="false" outlineLevel="0" collapsed="false">
      <c r="A46" s="2" t="s">
        <v>218</v>
      </c>
    </row>
    <row r="47" customFormat="false" ht="15" hidden="false" customHeight="false" outlineLevel="0" collapsed="false">
      <c r="A47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36"/>
    <col collapsed="false" customWidth="true" hidden="false" outlineLevel="0" max="9" min="5" style="0" width="13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12" t="s">
        <v>45</v>
      </c>
    </row>
    <row r="4" customFormat="false" ht="15" hidden="false" customHeight="false" outlineLevel="0" collapsed="false">
      <c r="A4" s="13" t="s">
        <v>82</v>
      </c>
      <c r="B4" s="13"/>
      <c r="C4" s="13"/>
      <c r="D4" s="13"/>
      <c r="E4" s="13"/>
      <c r="F4" s="13"/>
      <c r="G4" s="13"/>
      <c r="H4" s="13"/>
      <c r="I4" s="13"/>
    </row>
    <row r="5" customFormat="false" ht="15" hidden="false" customHeight="false" outlineLevel="0" collapsed="false">
      <c r="A5" s="14" t="s">
        <v>83</v>
      </c>
      <c r="B5" s="14" t="s">
        <v>46</v>
      </c>
    </row>
    <row r="6" customFormat="false" ht="15" hidden="false" customHeight="false" outlineLevel="0" collapsed="false">
      <c r="A6" s="14" t="s">
        <v>84</v>
      </c>
      <c r="B6" s="15" t="n">
        <v>30</v>
      </c>
    </row>
    <row r="7" customFormat="false" ht="15" hidden="false" customHeight="false" outlineLevel="0" collapsed="false">
      <c r="A7" s="14" t="s">
        <v>85</v>
      </c>
      <c r="B7" s="15" t="n">
        <v>30</v>
      </c>
    </row>
    <row r="8" customFormat="false" ht="15" hidden="false" customHeight="false" outlineLevel="0" collapsed="false">
      <c r="A8" s="14" t="s">
        <v>86</v>
      </c>
      <c r="B8" s="16" t="n">
        <v>0.08</v>
      </c>
    </row>
    <row r="9" customFormat="false" ht="15" hidden="false" customHeight="false" outlineLevel="0" collapsed="false">
      <c r="A9" s="14" t="s">
        <v>87</v>
      </c>
      <c r="B9" s="16" t="n">
        <v>0.15</v>
      </c>
    </row>
    <row r="10" customFormat="false" ht="15" hidden="false" customHeight="false" outlineLevel="0" collapsed="false">
      <c r="A10" s="14" t="s">
        <v>88</v>
      </c>
      <c r="B10" s="15" t="n">
        <v>23</v>
      </c>
    </row>
    <row r="11" customFormat="false" ht="15" hidden="false" customHeight="false" outlineLevel="0" collapsed="false">
      <c r="A11" s="14" t="s">
        <v>89</v>
      </c>
      <c r="B11" s="15" t="n">
        <v>28</v>
      </c>
    </row>
    <row r="12" customFormat="false" ht="15" hidden="false" customHeight="false" outlineLevel="0" collapsed="false">
      <c r="A12" s="14" t="s">
        <v>90</v>
      </c>
      <c r="B12" s="17" t="n">
        <f aca="false">AVERAGE(B10:B11)</f>
        <v>25.5</v>
      </c>
    </row>
    <row r="13" customFormat="false" ht="42" hidden="false" customHeight="true" outlineLevel="0" collapsed="false">
      <c r="A13" s="14" t="s">
        <v>91</v>
      </c>
      <c r="B13" s="18" t="s">
        <v>219</v>
      </c>
    </row>
    <row r="15" customFormat="false" ht="15" hidden="false" customHeight="false" outlineLevel="0" collapsed="false">
      <c r="A15" s="13" t="s">
        <v>93</v>
      </c>
      <c r="B15" s="13"/>
      <c r="C15" s="13"/>
      <c r="D15" s="13"/>
      <c r="E15" s="13"/>
      <c r="F15" s="13"/>
      <c r="G15" s="13"/>
      <c r="H15" s="13"/>
      <c r="I15" s="13"/>
    </row>
    <row r="16" customFormat="false" ht="15" hidden="false" customHeight="false" outlineLevel="0" collapsed="false">
      <c r="A16" s="19" t="s">
        <v>2</v>
      </c>
      <c r="B16" s="19" t="s">
        <v>94</v>
      </c>
      <c r="C16" s="19" t="s">
        <v>95</v>
      </c>
    </row>
    <row r="17" customFormat="false" ht="15" hidden="false" customHeight="false" outlineLevel="0" collapsed="false">
      <c r="A17" s="20" t="s">
        <v>206</v>
      </c>
      <c r="B17" s="21" t="n">
        <v>21</v>
      </c>
      <c r="C17" s="22" t="s">
        <v>220</v>
      </c>
    </row>
    <row r="18" customFormat="false" ht="15" hidden="false" customHeight="false" outlineLevel="0" collapsed="false">
      <c r="A18" s="20" t="s">
        <v>221</v>
      </c>
      <c r="B18" s="21" t="n">
        <v>6.1</v>
      </c>
      <c r="C18" s="22" t="s">
        <v>222</v>
      </c>
    </row>
    <row r="19" customFormat="false" ht="15" hidden="false" customHeight="false" outlineLevel="0" collapsed="false">
      <c r="A19" s="20" t="s">
        <v>223</v>
      </c>
      <c r="B19" s="21" t="n">
        <v>4.7</v>
      </c>
      <c r="C19" s="22" t="s">
        <v>224</v>
      </c>
    </row>
    <row r="20" customFormat="false" ht="15" hidden="false" customHeight="false" outlineLevel="0" collapsed="false">
      <c r="A20" s="20" t="s">
        <v>225</v>
      </c>
      <c r="B20" s="21" t="n">
        <v>3.2</v>
      </c>
      <c r="C20" s="22" t="s">
        <v>226</v>
      </c>
    </row>
    <row r="23" customFormat="false" ht="15" hidden="false" customHeight="false" outlineLevel="0" collapsed="false">
      <c r="A23" s="13" t="s">
        <v>104</v>
      </c>
      <c r="B23" s="13"/>
      <c r="C23" s="13"/>
      <c r="D23" s="13"/>
      <c r="E23" s="13"/>
      <c r="F23" s="13"/>
      <c r="G23" s="13"/>
      <c r="H23" s="13"/>
      <c r="I23" s="13"/>
    </row>
    <row r="24" customFormat="false" ht="30" hidden="false" customHeight="true" outlineLevel="0" collapsed="false">
      <c r="A24" s="3" t="s">
        <v>105</v>
      </c>
      <c r="B24" s="3" t="s">
        <v>106</v>
      </c>
      <c r="C24" s="3" t="s">
        <v>107</v>
      </c>
      <c r="D24" s="3" t="s">
        <v>108</v>
      </c>
      <c r="E24" s="3" t="s">
        <v>109</v>
      </c>
      <c r="F24" s="3" t="s">
        <v>110</v>
      </c>
      <c r="G24" s="3" t="s">
        <v>111</v>
      </c>
      <c r="H24" s="3" t="s">
        <v>112</v>
      </c>
      <c r="I24" s="3" t="s">
        <v>113</v>
      </c>
    </row>
    <row r="25" customFormat="false" ht="15" hidden="false" customHeight="false" outlineLevel="0" collapsed="false">
      <c r="A25" s="20" t="s">
        <v>114</v>
      </c>
      <c r="B25" s="23" t="s">
        <v>117</v>
      </c>
      <c r="C25" s="24" t="n">
        <v>2</v>
      </c>
      <c r="D25" s="25" t="n">
        <v>1.5</v>
      </c>
      <c r="E25" s="26" t="n">
        <v>20</v>
      </c>
      <c r="F25" s="27" t="n">
        <f aca="false">D25*E25</f>
        <v>30</v>
      </c>
      <c r="G25" s="28" t="n">
        <f aca="false">F25/B12</f>
        <v>1.17647058823529</v>
      </c>
      <c r="H25" s="29" t="n">
        <f aca="false">G25-1</f>
        <v>0.176470588235294</v>
      </c>
      <c r="I25" s="29" t="n">
        <f aca="false">G25^(1/C25)-1</f>
        <v>0.0846522890932808</v>
      </c>
    </row>
    <row r="26" customFormat="false" ht="15" hidden="false" customHeight="false" outlineLevel="0" collapsed="false">
      <c r="A26" s="20" t="s">
        <v>116</v>
      </c>
      <c r="B26" s="23" t="s">
        <v>146</v>
      </c>
      <c r="C26" s="24" t="n">
        <v>2.5</v>
      </c>
      <c r="D26" s="25" t="n">
        <v>2.5</v>
      </c>
      <c r="E26" s="26" t="n">
        <v>24</v>
      </c>
      <c r="F26" s="27" t="n">
        <f aca="false">D26*E26</f>
        <v>60</v>
      </c>
      <c r="G26" s="28" t="n">
        <f aca="false">F26/B12</f>
        <v>2.35294117647059</v>
      </c>
      <c r="H26" s="29" t="n">
        <f aca="false">G26-1</f>
        <v>1.35294117647059</v>
      </c>
      <c r="I26" s="29" t="n">
        <f aca="false">G26^(1/C26)-1</f>
        <v>0.408135436805908</v>
      </c>
    </row>
    <row r="27" customFormat="false" ht="15" hidden="false" customHeight="false" outlineLevel="0" collapsed="false">
      <c r="A27" s="20" t="s">
        <v>118</v>
      </c>
      <c r="B27" s="23" t="s">
        <v>147</v>
      </c>
      <c r="C27" s="24" t="n">
        <v>3.5</v>
      </c>
      <c r="D27" s="25" t="n">
        <v>4</v>
      </c>
      <c r="E27" s="26" t="n">
        <v>28</v>
      </c>
      <c r="F27" s="27" t="n">
        <f aca="false">D27*E27</f>
        <v>112</v>
      </c>
      <c r="G27" s="28" t="n">
        <f aca="false">F27/B12</f>
        <v>4.3921568627451</v>
      </c>
      <c r="H27" s="29" t="n">
        <f aca="false">G27-1</f>
        <v>3.3921568627451</v>
      </c>
      <c r="I27" s="29" t="n">
        <f aca="false">G27^(1/C27)-1</f>
        <v>0.526237923738988</v>
      </c>
    </row>
    <row r="28" customFormat="false" ht="30" hidden="false" customHeight="true" outlineLevel="0" collapsed="false">
      <c r="A28" s="18" t="s">
        <v>227</v>
      </c>
    </row>
    <row r="30" customFormat="false" ht="15" hidden="false" customHeight="false" outlineLevel="0" collapsed="false">
      <c r="A30" s="13" t="s">
        <v>120</v>
      </c>
      <c r="B30" s="13"/>
      <c r="C30" s="13"/>
      <c r="D30" s="13"/>
      <c r="E30" s="13"/>
      <c r="F30" s="13"/>
      <c r="G30" s="13"/>
      <c r="H30" s="13"/>
      <c r="I30" s="13"/>
    </row>
    <row r="31" customFormat="false" ht="30" hidden="false" customHeight="true" outlineLevel="0" collapsed="false">
      <c r="A31" s="3" t="s">
        <v>105</v>
      </c>
      <c r="B31" s="3" t="s">
        <v>106</v>
      </c>
      <c r="C31" s="3" t="s">
        <v>107</v>
      </c>
      <c r="D31" s="3" t="s">
        <v>121</v>
      </c>
      <c r="E31" s="3" t="s">
        <v>110</v>
      </c>
      <c r="F31" s="3" t="s">
        <v>111</v>
      </c>
      <c r="G31" s="3" t="s">
        <v>112</v>
      </c>
      <c r="H31" s="3" t="s">
        <v>113</v>
      </c>
    </row>
    <row r="32" customFormat="false" ht="15" hidden="false" customHeight="false" outlineLevel="0" collapsed="false">
      <c r="A32" s="20" t="s">
        <v>114</v>
      </c>
      <c r="B32" s="23" t="s">
        <v>117</v>
      </c>
      <c r="C32" s="24" t="n">
        <v>2</v>
      </c>
      <c r="D32" s="5" t="s">
        <v>228</v>
      </c>
      <c r="E32" s="25" t="n">
        <v>30</v>
      </c>
      <c r="F32" s="28" t="n">
        <f aca="false">E32/B12</f>
        <v>1.17647058823529</v>
      </c>
      <c r="G32" s="29" t="n">
        <f aca="false">F32-1</f>
        <v>0.176470588235294</v>
      </c>
      <c r="H32" s="29" t="n">
        <f aca="false">F32^(1/C32)-1</f>
        <v>0.0846522890932808</v>
      </c>
    </row>
    <row r="33" customFormat="false" ht="15" hidden="false" customHeight="false" outlineLevel="0" collapsed="false">
      <c r="A33" s="20" t="s">
        <v>116</v>
      </c>
      <c r="B33" s="23" t="s">
        <v>146</v>
      </c>
      <c r="C33" s="24" t="n">
        <v>2.5</v>
      </c>
      <c r="D33" s="5" t="s">
        <v>229</v>
      </c>
      <c r="E33" s="25" t="n">
        <v>60</v>
      </c>
      <c r="F33" s="28" t="n">
        <f aca="false">E33/B12</f>
        <v>2.35294117647059</v>
      </c>
      <c r="G33" s="29" t="n">
        <f aca="false">F33-1</f>
        <v>1.35294117647059</v>
      </c>
      <c r="H33" s="29" t="n">
        <f aca="false">F33^(1/C33)-1</f>
        <v>0.408135436805908</v>
      </c>
    </row>
    <row r="34" customFormat="false" ht="23.85" hidden="false" customHeight="false" outlineLevel="0" collapsed="false">
      <c r="A34" s="20" t="s">
        <v>118</v>
      </c>
      <c r="B34" s="23" t="s">
        <v>147</v>
      </c>
      <c r="C34" s="24" t="n">
        <v>3.5</v>
      </c>
      <c r="D34" s="5" t="s">
        <v>230</v>
      </c>
      <c r="E34" s="25" t="n">
        <v>100</v>
      </c>
      <c r="F34" s="28" t="n">
        <f aca="false">E34/B12</f>
        <v>3.92156862745098</v>
      </c>
      <c r="G34" s="29" t="n">
        <f aca="false">F34-1</f>
        <v>2.92156862745098</v>
      </c>
      <c r="H34" s="29" t="n">
        <f aca="false">F34^(1/C34)-1</f>
        <v>0.477610431539711</v>
      </c>
    </row>
    <row r="35" customFormat="false" ht="15" hidden="false" customHeight="false" outlineLevel="0" collapsed="false">
      <c r="A35" s="13" t="s">
        <v>125</v>
      </c>
      <c r="B35" s="13"/>
      <c r="C35" s="13"/>
      <c r="D35" s="13"/>
      <c r="E35" s="13"/>
      <c r="F35" s="13"/>
      <c r="G35" s="13"/>
      <c r="H35" s="13"/>
      <c r="I35" s="13"/>
    </row>
    <row r="36" customFormat="false" ht="15" hidden="false" customHeight="false" outlineLevel="0" collapsed="false">
      <c r="A36" s="14" t="s">
        <v>126</v>
      </c>
      <c r="B36" s="17" t="n">
        <f aca="false">AVERAGE(F26,E33)</f>
        <v>60</v>
      </c>
    </row>
    <row r="37" customFormat="false" ht="15" hidden="false" customHeight="false" outlineLevel="0" collapsed="false">
      <c r="A37" s="14" t="s">
        <v>12</v>
      </c>
      <c r="B37" s="30" t="n">
        <f aca="false">B36/B12</f>
        <v>2.35294117647059</v>
      </c>
    </row>
    <row r="38" customFormat="false" ht="15" hidden="false" customHeight="false" outlineLevel="0" collapsed="false">
      <c r="A38" s="14" t="s">
        <v>13</v>
      </c>
      <c r="B38" s="31" t="n">
        <f aca="false">B37-1</f>
        <v>1.35294117647059</v>
      </c>
    </row>
    <row r="39" customFormat="false" ht="15" hidden="false" customHeight="false" outlineLevel="0" collapsed="false">
      <c r="A39" s="14" t="s">
        <v>127</v>
      </c>
      <c r="B39" s="31" t="n">
        <f aca="false">B37^(1/C26)-1</f>
        <v>0.408135436805908</v>
      </c>
    </row>
    <row r="40" customFormat="false" ht="15" hidden="false" customHeight="false" outlineLevel="0" collapsed="false">
      <c r="A40" s="14" t="s">
        <v>128</v>
      </c>
      <c r="B40" s="30" t="n">
        <f aca="false">MIN(G25,F32)</f>
        <v>1.17647058823529</v>
      </c>
      <c r="C40" s="30" t="n">
        <f aca="false">MAX(G27,F34)</f>
        <v>4.3921568627451</v>
      </c>
    </row>
    <row r="41" customFormat="false" ht="15" hidden="false" customHeight="false" outlineLevel="0" collapsed="false">
      <c r="A41" s="14" t="s">
        <v>129</v>
      </c>
      <c r="B41" s="30" t="n">
        <f aca="false">B36/B11</f>
        <v>2.14285714285714</v>
      </c>
    </row>
    <row r="43" customFormat="false" ht="15" hidden="false" customHeight="false" outlineLevel="0" collapsed="false">
      <c r="A43" s="13" t="s">
        <v>130</v>
      </c>
      <c r="B43" s="13"/>
      <c r="C43" s="13"/>
      <c r="D43" s="13"/>
      <c r="E43" s="13"/>
      <c r="F43" s="13"/>
      <c r="G43" s="13"/>
      <c r="H43" s="13"/>
      <c r="I43" s="13"/>
    </row>
    <row r="44" customFormat="false" ht="15" hidden="false" customHeight="false" outlineLevel="0" collapsed="false">
      <c r="A44" s="2" t="s">
        <v>231</v>
      </c>
    </row>
    <row r="45" customFormat="false" ht="15" hidden="false" customHeight="false" outlineLevel="0" collapsed="false">
      <c r="A45" s="2" t="s">
        <v>232</v>
      </c>
    </row>
    <row r="46" customFormat="false" ht="15" hidden="false" customHeight="false" outlineLevel="0" collapsed="false">
      <c r="A46" s="2" t="s">
        <v>233</v>
      </c>
    </row>
    <row r="47" customFormat="false" ht="15" hidden="false" customHeight="false" outlineLevel="0" collapsed="false">
      <c r="A47" s="2" t="s">
        <v>234</v>
      </c>
    </row>
    <row r="48" customFormat="false" ht="15" hidden="false" customHeight="false" outlineLevel="0" collapsed="false">
      <c r="A48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36"/>
    <col collapsed="false" customWidth="true" hidden="false" outlineLevel="0" max="9" min="5" style="0" width="13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12" t="s">
        <v>49</v>
      </c>
    </row>
    <row r="4" customFormat="false" ht="15" hidden="false" customHeight="false" outlineLevel="0" collapsed="false">
      <c r="A4" s="13" t="s">
        <v>82</v>
      </c>
      <c r="B4" s="13"/>
      <c r="C4" s="13"/>
      <c r="D4" s="13"/>
      <c r="E4" s="13"/>
      <c r="F4" s="13"/>
      <c r="G4" s="13"/>
      <c r="H4" s="13"/>
      <c r="I4" s="13"/>
    </row>
    <row r="5" customFormat="false" ht="15" hidden="false" customHeight="false" outlineLevel="0" collapsed="false">
      <c r="A5" s="14" t="s">
        <v>83</v>
      </c>
      <c r="B5" s="14" t="s">
        <v>50</v>
      </c>
    </row>
    <row r="6" customFormat="false" ht="15" hidden="false" customHeight="false" outlineLevel="0" collapsed="false">
      <c r="A6" s="14" t="s">
        <v>84</v>
      </c>
      <c r="B6" s="15" t="n">
        <v>425</v>
      </c>
    </row>
    <row r="7" customFormat="false" ht="15" hidden="false" customHeight="false" outlineLevel="0" collapsed="false">
      <c r="A7" s="14" t="s">
        <v>85</v>
      </c>
      <c r="B7" s="15" t="n">
        <v>425</v>
      </c>
    </row>
    <row r="8" customFormat="false" ht="15" hidden="false" customHeight="false" outlineLevel="0" collapsed="false">
      <c r="A8" s="14" t="s">
        <v>86</v>
      </c>
      <c r="B8" s="16" t="n">
        <v>0.08</v>
      </c>
    </row>
    <row r="9" customFormat="false" ht="15" hidden="false" customHeight="false" outlineLevel="0" collapsed="false">
      <c r="A9" s="14" t="s">
        <v>87</v>
      </c>
      <c r="B9" s="16" t="n">
        <v>0.15</v>
      </c>
    </row>
    <row r="10" customFormat="false" ht="15" hidden="false" customHeight="false" outlineLevel="0" collapsed="false">
      <c r="A10" s="14" t="s">
        <v>88</v>
      </c>
      <c r="B10" s="15" t="n">
        <v>590</v>
      </c>
    </row>
    <row r="11" customFormat="false" ht="15" hidden="false" customHeight="false" outlineLevel="0" collapsed="false">
      <c r="A11" s="14" t="s">
        <v>89</v>
      </c>
      <c r="B11" s="15" t="n">
        <v>610</v>
      </c>
    </row>
    <row r="12" customFormat="false" ht="15" hidden="false" customHeight="false" outlineLevel="0" collapsed="false">
      <c r="A12" s="14" t="s">
        <v>90</v>
      </c>
      <c r="B12" s="17" t="n">
        <f aca="false">AVERAGE(B10:B11)</f>
        <v>600</v>
      </c>
    </row>
    <row r="13" customFormat="false" ht="42" hidden="false" customHeight="true" outlineLevel="0" collapsed="false">
      <c r="A13" s="14" t="s">
        <v>91</v>
      </c>
      <c r="B13" s="18" t="s">
        <v>235</v>
      </c>
    </row>
    <row r="15" customFormat="false" ht="15" hidden="false" customHeight="false" outlineLevel="0" collapsed="false">
      <c r="A15" s="13" t="s">
        <v>93</v>
      </c>
      <c r="B15" s="13"/>
      <c r="C15" s="13"/>
      <c r="D15" s="13"/>
      <c r="E15" s="13"/>
      <c r="F15" s="13"/>
      <c r="G15" s="13"/>
      <c r="H15" s="13"/>
      <c r="I15" s="13"/>
    </row>
    <row r="16" customFormat="false" ht="15" hidden="false" customHeight="false" outlineLevel="0" collapsed="false">
      <c r="A16" s="19" t="s">
        <v>2</v>
      </c>
      <c r="B16" s="19" t="s">
        <v>94</v>
      </c>
      <c r="C16" s="19" t="s">
        <v>95</v>
      </c>
    </row>
    <row r="17" customFormat="false" ht="15" hidden="false" customHeight="false" outlineLevel="0" collapsed="false">
      <c r="A17" s="20" t="s">
        <v>101</v>
      </c>
      <c r="B17" s="21" t="n">
        <v>7.5</v>
      </c>
      <c r="C17" s="22" t="s">
        <v>236</v>
      </c>
    </row>
    <row r="18" customFormat="false" ht="15" hidden="false" customHeight="false" outlineLevel="0" collapsed="false">
      <c r="A18" s="20" t="s">
        <v>237</v>
      </c>
      <c r="B18" s="21" t="n">
        <v>10.7</v>
      </c>
      <c r="C18" s="22" t="s">
        <v>238</v>
      </c>
    </row>
    <row r="19" customFormat="false" ht="15" hidden="false" customHeight="false" outlineLevel="0" collapsed="false">
      <c r="A19" s="20" t="s">
        <v>239</v>
      </c>
      <c r="B19" s="21" t="n">
        <v>4.5</v>
      </c>
      <c r="C19" s="22" t="s">
        <v>240</v>
      </c>
    </row>
    <row r="20" customFormat="false" ht="15" hidden="false" customHeight="false" outlineLevel="0" collapsed="false">
      <c r="A20" s="20" t="s">
        <v>241</v>
      </c>
      <c r="B20" s="21" t="n">
        <v>2</v>
      </c>
      <c r="C20" s="22" t="s">
        <v>242</v>
      </c>
    </row>
    <row r="23" customFormat="false" ht="15" hidden="false" customHeight="false" outlineLevel="0" collapsed="false">
      <c r="A23" s="13" t="s">
        <v>104</v>
      </c>
      <c r="B23" s="13"/>
      <c r="C23" s="13"/>
      <c r="D23" s="13"/>
      <c r="E23" s="13"/>
      <c r="F23" s="13"/>
      <c r="G23" s="13"/>
      <c r="H23" s="13"/>
      <c r="I23" s="13"/>
    </row>
    <row r="24" customFormat="false" ht="30" hidden="false" customHeight="true" outlineLevel="0" collapsed="false">
      <c r="A24" s="3" t="s">
        <v>105</v>
      </c>
      <c r="B24" s="3" t="s">
        <v>106</v>
      </c>
      <c r="C24" s="3" t="s">
        <v>107</v>
      </c>
      <c r="D24" s="3" t="s">
        <v>108</v>
      </c>
      <c r="E24" s="3" t="s">
        <v>109</v>
      </c>
      <c r="F24" s="3" t="s">
        <v>110</v>
      </c>
      <c r="G24" s="3" t="s">
        <v>111</v>
      </c>
      <c r="H24" s="3" t="s">
        <v>112</v>
      </c>
      <c r="I24" s="3" t="s">
        <v>113</v>
      </c>
    </row>
    <row r="25" customFormat="false" ht="15" hidden="false" customHeight="false" outlineLevel="0" collapsed="false">
      <c r="A25" s="20" t="s">
        <v>114</v>
      </c>
      <c r="B25" s="23" t="s">
        <v>117</v>
      </c>
      <c r="C25" s="24" t="n">
        <v>2</v>
      </c>
      <c r="D25" s="25" t="n">
        <v>220</v>
      </c>
      <c r="E25" s="26" t="n">
        <v>3</v>
      </c>
      <c r="F25" s="27" t="n">
        <f aca="false">D25*E25</f>
        <v>660</v>
      </c>
      <c r="G25" s="28" t="n">
        <f aca="false">F25/B12</f>
        <v>1.1</v>
      </c>
      <c r="H25" s="29" t="n">
        <f aca="false">G25-1</f>
        <v>0.1</v>
      </c>
      <c r="I25" s="29" t="n">
        <f aca="false">G25^(1/C25)-1</f>
        <v>0.0488088481701516</v>
      </c>
    </row>
    <row r="26" customFormat="false" ht="15" hidden="false" customHeight="false" outlineLevel="0" collapsed="false">
      <c r="A26" s="20" t="s">
        <v>116</v>
      </c>
      <c r="B26" s="23" t="s">
        <v>117</v>
      </c>
      <c r="C26" s="24" t="n">
        <v>2</v>
      </c>
      <c r="D26" s="25" t="n">
        <v>250</v>
      </c>
      <c r="E26" s="26" t="n">
        <v>3.4</v>
      </c>
      <c r="F26" s="27" t="n">
        <f aca="false">D26*E26</f>
        <v>850</v>
      </c>
      <c r="G26" s="28" t="n">
        <f aca="false">F26/B12</f>
        <v>1.41666666666667</v>
      </c>
      <c r="H26" s="29" t="n">
        <f aca="false">G26-1</f>
        <v>0.416666666666667</v>
      </c>
      <c r="I26" s="29" t="n">
        <f aca="false">G26^(1/C26)-1</f>
        <v>0.190238071423808</v>
      </c>
    </row>
    <row r="27" customFormat="false" ht="15" hidden="false" customHeight="false" outlineLevel="0" collapsed="false">
      <c r="A27" s="20" t="s">
        <v>118</v>
      </c>
      <c r="B27" s="23" t="s">
        <v>146</v>
      </c>
      <c r="C27" s="24" t="n">
        <v>3</v>
      </c>
      <c r="D27" s="25" t="n">
        <v>300</v>
      </c>
      <c r="E27" s="26" t="n">
        <v>4.2</v>
      </c>
      <c r="F27" s="27" t="n">
        <f aca="false">D27*E27</f>
        <v>1260</v>
      </c>
      <c r="G27" s="28" t="n">
        <f aca="false">F27/B12</f>
        <v>2.1</v>
      </c>
      <c r="H27" s="29" t="n">
        <f aca="false">G27-1</f>
        <v>1.1</v>
      </c>
      <c r="I27" s="29" t="n">
        <f aca="false">G27^(1/C27)-1</f>
        <v>0.280579164987494</v>
      </c>
    </row>
    <row r="28" customFormat="false" ht="30" hidden="false" customHeight="true" outlineLevel="0" collapsed="false">
      <c r="A28" s="18" t="s">
        <v>243</v>
      </c>
    </row>
    <row r="30" customFormat="false" ht="15" hidden="false" customHeight="false" outlineLevel="0" collapsed="false">
      <c r="A30" s="13" t="s">
        <v>120</v>
      </c>
      <c r="B30" s="13"/>
      <c r="C30" s="13"/>
      <c r="D30" s="13"/>
      <c r="E30" s="13"/>
      <c r="F30" s="13"/>
      <c r="G30" s="13"/>
      <c r="H30" s="13"/>
      <c r="I30" s="13"/>
    </row>
    <row r="31" customFormat="false" ht="30" hidden="false" customHeight="true" outlineLevel="0" collapsed="false">
      <c r="A31" s="3" t="s">
        <v>105</v>
      </c>
      <c r="B31" s="3" t="s">
        <v>106</v>
      </c>
      <c r="C31" s="3" t="s">
        <v>107</v>
      </c>
      <c r="D31" s="3" t="s">
        <v>121</v>
      </c>
      <c r="E31" s="3" t="s">
        <v>110</v>
      </c>
      <c r="F31" s="3" t="s">
        <v>111</v>
      </c>
      <c r="G31" s="3" t="s">
        <v>112</v>
      </c>
      <c r="H31" s="3" t="s">
        <v>113</v>
      </c>
    </row>
    <row r="32" customFormat="false" ht="23.85" hidden="false" customHeight="false" outlineLevel="0" collapsed="false">
      <c r="A32" s="20" t="s">
        <v>114</v>
      </c>
      <c r="B32" s="23" t="s">
        <v>117</v>
      </c>
      <c r="C32" s="24" t="n">
        <v>2</v>
      </c>
      <c r="D32" s="5" t="s">
        <v>244</v>
      </c>
      <c r="E32" s="25" t="n">
        <v>600</v>
      </c>
      <c r="F32" s="28" t="n">
        <f aca="false">E32/B12</f>
        <v>1</v>
      </c>
      <c r="G32" s="29" t="n">
        <f aca="false">F32-1</f>
        <v>0</v>
      </c>
      <c r="H32" s="29" t="n">
        <f aca="false">F32^(1/C32)-1</f>
        <v>0</v>
      </c>
    </row>
    <row r="33" customFormat="false" ht="23.85" hidden="false" customHeight="false" outlineLevel="0" collapsed="false">
      <c r="A33" s="20" t="s">
        <v>116</v>
      </c>
      <c r="B33" s="23" t="s">
        <v>117</v>
      </c>
      <c r="C33" s="24" t="n">
        <v>2</v>
      </c>
      <c r="D33" s="5" t="s">
        <v>245</v>
      </c>
      <c r="E33" s="25" t="n">
        <v>850</v>
      </c>
      <c r="F33" s="28" t="n">
        <f aca="false">E33/B12</f>
        <v>1.41666666666667</v>
      </c>
      <c r="G33" s="29" t="n">
        <f aca="false">F33-1</f>
        <v>0.416666666666667</v>
      </c>
      <c r="H33" s="29" t="n">
        <f aca="false">F33^(1/C33)-1</f>
        <v>0.190238071423808</v>
      </c>
    </row>
    <row r="34" customFormat="false" ht="15" hidden="false" customHeight="false" outlineLevel="0" collapsed="false">
      <c r="A34" s="20" t="s">
        <v>118</v>
      </c>
      <c r="B34" s="23" t="s">
        <v>146</v>
      </c>
      <c r="C34" s="24" t="n">
        <v>3</v>
      </c>
      <c r="D34" s="5" t="s">
        <v>246</v>
      </c>
      <c r="E34" s="25" t="n">
        <v>1200</v>
      </c>
      <c r="F34" s="28" t="n">
        <f aca="false">E34/B12</f>
        <v>2</v>
      </c>
      <c r="G34" s="29" t="n">
        <f aca="false">F34-1</f>
        <v>1</v>
      </c>
      <c r="H34" s="29" t="n">
        <f aca="false">F34^(1/C34)-1</f>
        <v>0.259921049894873</v>
      </c>
    </row>
    <row r="35" customFormat="false" ht="15" hidden="false" customHeight="false" outlineLevel="0" collapsed="false">
      <c r="A35" s="13" t="s">
        <v>125</v>
      </c>
      <c r="B35" s="13"/>
      <c r="C35" s="13"/>
      <c r="D35" s="13"/>
      <c r="E35" s="13"/>
      <c r="F35" s="13"/>
      <c r="G35" s="13"/>
      <c r="H35" s="13"/>
      <c r="I35" s="13"/>
    </row>
    <row r="36" customFormat="false" ht="15" hidden="false" customHeight="false" outlineLevel="0" collapsed="false">
      <c r="A36" s="14" t="s">
        <v>126</v>
      </c>
      <c r="B36" s="17" t="n">
        <f aca="false">AVERAGE(F26,E33)</f>
        <v>850</v>
      </c>
    </row>
    <row r="37" customFormat="false" ht="15" hidden="false" customHeight="false" outlineLevel="0" collapsed="false">
      <c r="A37" s="14" t="s">
        <v>12</v>
      </c>
      <c r="B37" s="30" t="n">
        <f aca="false">B36/B12</f>
        <v>1.41666666666667</v>
      </c>
    </row>
    <row r="38" customFormat="false" ht="15" hidden="false" customHeight="false" outlineLevel="0" collapsed="false">
      <c r="A38" s="14" t="s">
        <v>13</v>
      </c>
      <c r="B38" s="31" t="n">
        <f aca="false">B37-1</f>
        <v>0.416666666666667</v>
      </c>
    </row>
    <row r="39" customFormat="false" ht="15" hidden="false" customHeight="false" outlineLevel="0" collapsed="false">
      <c r="A39" s="14" t="s">
        <v>127</v>
      </c>
      <c r="B39" s="31" t="n">
        <f aca="false">B37^(1/C26)-1</f>
        <v>0.190238071423808</v>
      </c>
    </row>
    <row r="40" customFormat="false" ht="15" hidden="false" customHeight="false" outlineLevel="0" collapsed="false">
      <c r="A40" s="14" t="s">
        <v>128</v>
      </c>
      <c r="B40" s="30" t="n">
        <f aca="false">MIN(G25,F32)</f>
        <v>1</v>
      </c>
      <c r="C40" s="30" t="n">
        <f aca="false">MAX(G27,F34)</f>
        <v>2.1</v>
      </c>
    </row>
    <row r="41" customFormat="false" ht="15" hidden="false" customHeight="false" outlineLevel="0" collapsed="false">
      <c r="A41" s="14" t="s">
        <v>129</v>
      </c>
      <c r="B41" s="30" t="n">
        <f aca="false">B36/B11</f>
        <v>1.39344262295082</v>
      </c>
    </row>
    <row r="43" customFormat="false" ht="15" hidden="false" customHeight="false" outlineLevel="0" collapsed="false">
      <c r="A43" s="13" t="s">
        <v>130</v>
      </c>
      <c r="B43" s="13"/>
      <c r="C43" s="13"/>
      <c r="D43" s="13"/>
      <c r="E43" s="13"/>
      <c r="F43" s="13"/>
      <c r="G43" s="13"/>
      <c r="H43" s="13"/>
      <c r="I43" s="13"/>
    </row>
    <row r="44" customFormat="false" ht="15" hidden="false" customHeight="false" outlineLevel="0" collapsed="false">
      <c r="A44" s="2" t="s">
        <v>247</v>
      </c>
    </row>
    <row r="45" customFormat="false" ht="15" hidden="false" customHeight="false" outlineLevel="0" collapsed="false">
      <c r="A45" s="2" t="s">
        <v>248</v>
      </c>
    </row>
    <row r="46" customFormat="false" ht="15" hidden="false" customHeight="false" outlineLevel="0" collapsed="false">
      <c r="A46" s="2" t="s">
        <v>249</v>
      </c>
    </row>
    <row r="47" customFormat="false" ht="15" hidden="false" customHeight="false" outlineLevel="0" collapsed="false">
      <c r="A47" s="2" t="s">
        <v>250</v>
      </c>
    </row>
    <row r="48" customFormat="false" ht="15" hidden="false" customHeight="false" outlineLevel="0" collapsed="false">
      <c r="A48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36"/>
    <col collapsed="false" customWidth="true" hidden="false" outlineLevel="0" max="9" min="5" style="0" width="13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12" t="s">
        <v>53</v>
      </c>
    </row>
    <row r="4" customFormat="false" ht="15" hidden="false" customHeight="false" outlineLevel="0" collapsed="false">
      <c r="A4" s="13" t="s">
        <v>82</v>
      </c>
      <c r="B4" s="13"/>
      <c r="C4" s="13"/>
      <c r="D4" s="13"/>
      <c r="E4" s="13"/>
      <c r="F4" s="13"/>
      <c r="G4" s="13"/>
      <c r="H4" s="13"/>
      <c r="I4" s="13"/>
    </row>
    <row r="5" customFormat="false" ht="15" hidden="false" customHeight="false" outlineLevel="0" collapsed="false">
      <c r="A5" s="14" t="s">
        <v>83</v>
      </c>
      <c r="B5" s="14" t="s">
        <v>54</v>
      </c>
    </row>
    <row r="6" customFormat="false" ht="15" hidden="false" customHeight="false" outlineLevel="0" collapsed="false">
      <c r="A6" s="14" t="s">
        <v>84</v>
      </c>
      <c r="B6" s="15" t="n">
        <v>7.2</v>
      </c>
    </row>
    <row r="7" customFormat="false" ht="15" hidden="false" customHeight="false" outlineLevel="0" collapsed="false">
      <c r="A7" s="14" t="s">
        <v>85</v>
      </c>
      <c r="B7" s="15" t="n">
        <v>7.2</v>
      </c>
    </row>
    <row r="8" customFormat="false" ht="15" hidden="false" customHeight="false" outlineLevel="0" collapsed="false">
      <c r="A8" s="14" t="s">
        <v>86</v>
      </c>
      <c r="B8" s="16" t="n">
        <v>0.08</v>
      </c>
    </row>
    <row r="9" customFormat="false" ht="15" hidden="false" customHeight="false" outlineLevel="0" collapsed="false">
      <c r="A9" s="14" t="s">
        <v>87</v>
      </c>
      <c r="B9" s="16" t="n">
        <v>0.15</v>
      </c>
    </row>
    <row r="10" customFormat="false" ht="15" hidden="false" customHeight="false" outlineLevel="0" collapsed="false">
      <c r="A10" s="14" t="s">
        <v>88</v>
      </c>
      <c r="B10" s="15" t="n">
        <v>6.5</v>
      </c>
    </row>
    <row r="11" customFormat="false" ht="15" hidden="false" customHeight="false" outlineLevel="0" collapsed="false">
      <c r="A11" s="14" t="s">
        <v>89</v>
      </c>
      <c r="B11" s="15" t="n">
        <v>7</v>
      </c>
    </row>
    <row r="12" customFormat="false" ht="15" hidden="false" customHeight="false" outlineLevel="0" collapsed="false">
      <c r="A12" s="14" t="s">
        <v>90</v>
      </c>
      <c r="B12" s="17" t="n">
        <f aca="false">AVERAGE(B10:B11)</f>
        <v>6.75</v>
      </c>
    </row>
    <row r="13" customFormat="false" ht="42" hidden="false" customHeight="true" outlineLevel="0" collapsed="false">
      <c r="A13" s="14" t="s">
        <v>91</v>
      </c>
      <c r="B13" s="18" t="s">
        <v>251</v>
      </c>
    </row>
    <row r="15" customFormat="false" ht="15" hidden="false" customHeight="false" outlineLevel="0" collapsed="false">
      <c r="A15" s="13" t="s">
        <v>93</v>
      </c>
      <c r="B15" s="13"/>
      <c r="C15" s="13"/>
      <c r="D15" s="13"/>
      <c r="E15" s="13"/>
      <c r="F15" s="13"/>
      <c r="G15" s="13"/>
      <c r="H15" s="13"/>
      <c r="I15" s="13"/>
    </row>
    <row r="16" customFormat="false" ht="15" hidden="false" customHeight="false" outlineLevel="0" collapsed="false">
      <c r="A16" s="19" t="s">
        <v>2</v>
      </c>
      <c r="B16" s="19" t="s">
        <v>94</v>
      </c>
      <c r="C16" s="19" t="s">
        <v>95</v>
      </c>
    </row>
    <row r="17" customFormat="false" ht="15" hidden="false" customHeight="false" outlineLevel="0" collapsed="false">
      <c r="A17" s="20" t="s">
        <v>102</v>
      </c>
      <c r="B17" s="21" t="n">
        <v>61</v>
      </c>
      <c r="C17" s="22" t="s">
        <v>252</v>
      </c>
    </row>
    <row r="18" customFormat="false" ht="15" hidden="false" customHeight="false" outlineLevel="0" collapsed="false">
      <c r="A18" s="20" t="s">
        <v>206</v>
      </c>
      <c r="B18" s="21" t="n">
        <v>21.3</v>
      </c>
      <c r="C18" s="22" t="s">
        <v>167</v>
      </c>
    </row>
    <row r="19" customFormat="false" ht="15" hidden="false" customHeight="false" outlineLevel="0" collapsed="false">
      <c r="A19" s="20" t="s">
        <v>253</v>
      </c>
      <c r="B19" s="21" t="n">
        <v>20.9</v>
      </c>
      <c r="C19" s="22" t="s">
        <v>167</v>
      </c>
    </row>
    <row r="20" customFormat="false" ht="15" hidden="false" customHeight="false" outlineLevel="0" collapsed="false">
      <c r="A20" s="20" t="s">
        <v>209</v>
      </c>
      <c r="B20" s="21" t="n">
        <v>9.5</v>
      </c>
      <c r="C20" s="22" t="s">
        <v>167</v>
      </c>
    </row>
    <row r="21" customFormat="false" ht="15" hidden="false" customHeight="false" outlineLevel="0" collapsed="false">
      <c r="A21" s="20" t="s">
        <v>254</v>
      </c>
      <c r="B21" s="21" t="n">
        <v>8.2</v>
      </c>
      <c r="C21" s="22" t="s">
        <v>255</v>
      </c>
    </row>
    <row r="23" customFormat="false" ht="15" hidden="false" customHeight="false" outlineLevel="0" collapsed="false">
      <c r="A23" s="13" t="s">
        <v>104</v>
      </c>
      <c r="B23" s="13"/>
      <c r="C23" s="13"/>
      <c r="D23" s="13"/>
      <c r="E23" s="13"/>
      <c r="F23" s="13"/>
      <c r="G23" s="13"/>
      <c r="H23" s="13"/>
      <c r="I23" s="13"/>
    </row>
    <row r="24" customFormat="false" ht="30" hidden="false" customHeight="true" outlineLevel="0" collapsed="false">
      <c r="A24" s="3" t="s">
        <v>105</v>
      </c>
      <c r="B24" s="3" t="s">
        <v>106</v>
      </c>
      <c r="C24" s="3" t="s">
        <v>107</v>
      </c>
      <c r="D24" s="3" t="s">
        <v>108</v>
      </c>
      <c r="E24" s="3" t="s">
        <v>109</v>
      </c>
      <c r="F24" s="3" t="s">
        <v>110</v>
      </c>
      <c r="G24" s="3" t="s">
        <v>111</v>
      </c>
      <c r="H24" s="3" t="s">
        <v>112</v>
      </c>
      <c r="I24" s="3" t="s">
        <v>113</v>
      </c>
    </row>
    <row r="25" customFormat="false" ht="15" hidden="false" customHeight="false" outlineLevel="0" collapsed="false">
      <c r="A25" s="20" t="s">
        <v>114</v>
      </c>
      <c r="B25" s="23" t="s">
        <v>117</v>
      </c>
      <c r="C25" s="24" t="n">
        <v>2</v>
      </c>
      <c r="D25" s="25" t="n">
        <v>0.6</v>
      </c>
      <c r="E25" s="26" t="n">
        <v>12</v>
      </c>
      <c r="F25" s="27" t="n">
        <f aca="false">D25*E25</f>
        <v>7.2</v>
      </c>
      <c r="G25" s="28" t="n">
        <f aca="false">F25/B12</f>
        <v>1.06666666666667</v>
      </c>
      <c r="H25" s="29" t="n">
        <f aca="false">G25-1</f>
        <v>0.0666666666666667</v>
      </c>
      <c r="I25" s="29" t="n">
        <f aca="false">G25^(1/C25)-1</f>
        <v>0.0327955589886444</v>
      </c>
    </row>
    <row r="26" customFormat="false" ht="15" hidden="false" customHeight="false" outlineLevel="0" collapsed="false">
      <c r="A26" s="20" t="s">
        <v>116</v>
      </c>
      <c r="B26" s="23" t="s">
        <v>146</v>
      </c>
      <c r="C26" s="24" t="n">
        <v>2.5</v>
      </c>
      <c r="D26" s="25" t="n">
        <v>0.9</v>
      </c>
      <c r="E26" s="26" t="n">
        <v>20</v>
      </c>
      <c r="F26" s="27" t="n">
        <f aca="false">D26*E26</f>
        <v>18</v>
      </c>
      <c r="G26" s="28" t="n">
        <f aca="false">F26/B12</f>
        <v>2.66666666666667</v>
      </c>
      <c r="H26" s="29" t="n">
        <f aca="false">G26-1</f>
        <v>1.66666666666667</v>
      </c>
      <c r="I26" s="29" t="n">
        <f aca="false">G26^(1/C26)-1</f>
        <v>0.480428689948613</v>
      </c>
    </row>
    <row r="27" customFormat="false" ht="15" hidden="false" customHeight="false" outlineLevel="0" collapsed="false">
      <c r="A27" s="20" t="s">
        <v>118</v>
      </c>
      <c r="B27" s="23" t="s">
        <v>147</v>
      </c>
      <c r="C27" s="24" t="n">
        <v>3.5</v>
      </c>
      <c r="D27" s="25" t="n">
        <v>1.5</v>
      </c>
      <c r="E27" s="26" t="n">
        <v>25</v>
      </c>
      <c r="F27" s="27" t="n">
        <f aca="false">D27*E27</f>
        <v>37.5</v>
      </c>
      <c r="G27" s="28" t="n">
        <f aca="false">F27/B12</f>
        <v>5.55555555555556</v>
      </c>
      <c r="H27" s="29" t="n">
        <f aca="false">G27-1</f>
        <v>4.55555555555556</v>
      </c>
      <c r="I27" s="29" t="n">
        <f aca="false">G27^(1/C27)-1</f>
        <v>0.632222214349522</v>
      </c>
    </row>
    <row r="28" customFormat="false" ht="30" hidden="false" customHeight="true" outlineLevel="0" collapsed="false">
      <c r="A28" s="18" t="s">
        <v>256</v>
      </c>
    </row>
    <row r="30" customFormat="false" ht="15" hidden="false" customHeight="false" outlineLevel="0" collapsed="false">
      <c r="A30" s="13" t="s">
        <v>120</v>
      </c>
      <c r="B30" s="13"/>
      <c r="C30" s="13"/>
      <c r="D30" s="13"/>
      <c r="E30" s="13"/>
      <c r="F30" s="13"/>
      <c r="G30" s="13"/>
      <c r="H30" s="13"/>
      <c r="I30" s="13"/>
    </row>
    <row r="31" customFormat="false" ht="30" hidden="false" customHeight="true" outlineLevel="0" collapsed="false">
      <c r="A31" s="3" t="s">
        <v>105</v>
      </c>
      <c r="B31" s="3" t="s">
        <v>106</v>
      </c>
      <c r="C31" s="3" t="s">
        <v>107</v>
      </c>
      <c r="D31" s="3" t="s">
        <v>121</v>
      </c>
      <c r="E31" s="3" t="s">
        <v>110</v>
      </c>
      <c r="F31" s="3" t="s">
        <v>111</v>
      </c>
      <c r="G31" s="3" t="s">
        <v>112</v>
      </c>
      <c r="H31" s="3" t="s">
        <v>113</v>
      </c>
    </row>
    <row r="32" customFormat="false" ht="23.85" hidden="false" customHeight="false" outlineLevel="0" collapsed="false">
      <c r="A32" s="20" t="s">
        <v>114</v>
      </c>
      <c r="B32" s="23" t="s">
        <v>117</v>
      </c>
      <c r="C32" s="24" t="n">
        <v>2</v>
      </c>
      <c r="D32" s="5" t="s">
        <v>257</v>
      </c>
      <c r="E32" s="25" t="n">
        <v>10</v>
      </c>
      <c r="F32" s="28" t="n">
        <f aca="false">E32/B12</f>
        <v>1.48148148148148</v>
      </c>
      <c r="G32" s="29" t="n">
        <f aca="false">F32-1</f>
        <v>0.481481481481481</v>
      </c>
      <c r="H32" s="29" t="n">
        <f aca="false">F32^(1/C32)-1</f>
        <v>0.217161238900369</v>
      </c>
    </row>
    <row r="33" customFormat="false" ht="15" hidden="false" customHeight="false" outlineLevel="0" collapsed="false">
      <c r="A33" s="20" t="s">
        <v>116</v>
      </c>
      <c r="B33" s="23" t="s">
        <v>146</v>
      </c>
      <c r="C33" s="24" t="n">
        <v>2.5</v>
      </c>
      <c r="D33" s="5" t="s">
        <v>258</v>
      </c>
      <c r="E33" s="25" t="n">
        <v>18</v>
      </c>
      <c r="F33" s="28" t="n">
        <f aca="false">E33/B12</f>
        <v>2.66666666666667</v>
      </c>
      <c r="G33" s="29" t="n">
        <f aca="false">F33-1</f>
        <v>1.66666666666667</v>
      </c>
      <c r="H33" s="29" t="n">
        <f aca="false">F33^(1/C33)-1</f>
        <v>0.480428689948613</v>
      </c>
    </row>
    <row r="34" customFormat="false" ht="15" hidden="false" customHeight="false" outlineLevel="0" collapsed="false">
      <c r="A34" s="20" t="s">
        <v>118</v>
      </c>
      <c r="B34" s="23" t="s">
        <v>147</v>
      </c>
      <c r="C34" s="24" t="n">
        <v>3.5</v>
      </c>
      <c r="D34" s="5" t="s">
        <v>259</v>
      </c>
      <c r="E34" s="25" t="n">
        <v>30</v>
      </c>
      <c r="F34" s="28" t="n">
        <f aca="false">E34/B12</f>
        <v>4.44444444444445</v>
      </c>
      <c r="G34" s="29" t="n">
        <f aca="false">F34-1</f>
        <v>3.44444444444444</v>
      </c>
      <c r="H34" s="29" t="n">
        <f aca="false">F34^(1/C34)-1</f>
        <v>0.531407286347922</v>
      </c>
    </row>
    <row r="35" customFormat="false" ht="15" hidden="false" customHeight="false" outlineLevel="0" collapsed="false">
      <c r="A35" s="13" t="s">
        <v>125</v>
      </c>
      <c r="B35" s="13"/>
      <c r="C35" s="13"/>
      <c r="D35" s="13"/>
      <c r="E35" s="13"/>
      <c r="F35" s="13"/>
      <c r="G35" s="13"/>
      <c r="H35" s="13"/>
      <c r="I35" s="13"/>
    </row>
    <row r="36" customFormat="false" ht="15" hidden="false" customHeight="false" outlineLevel="0" collapsed="false">
      <c r="A36" s="14" t="s">
        <v>126</v>
      </c>
      <c r="B36" s="17" t="n">
        <f aca="false">AVERAGE(F26,E33)</f>
        <v>18</v>
      </c>
    </row>
    <row r="37" customFormat="false" ht="15" hidden="false" customHeight="false" outlineLevel="0" collapsed="false">
      <c r="A37" s="14" t="s">
        <v>12</v>
      </c>
      <c r="B37" s="30" t="n">
        <f aca="false">B36/B12</f>
        <v>2.66666666666667</v>
      </c>
    </row>
    <row r="38" customFormat="false" ht="15" hidden="false" customHeight="false" outlineLevel="0" collapsed="false">
      <c r="A38" s="14" t="s">
        <v>13</v>
      </c>
      <c r="B38" s="31" t="n">
        <f aca="false">B37-1</f>
        <v>1.66666666666667</v>
      </c>
    </row>
    <row r="39" customFormat="false" ht="15" hidden="false" customHeight="false" outlineLevel="0" collapsed="false">
      <c r="A39" s="14" t="s">
        <v>127</v>
      </c>
      <c r="B39" s="31" t="n">
        <f aca="false">B37^(1/C26)-1</f>
        <v>0.480428689948613</v>
      </c>
    </row>
    <row r="40" customFormat="false" ht="15" hidden="false" customHeight="false" outlineLevel="0" collapsed="false">
      <c r="A40" s="14" t="s">
        <v>128</v>
      </c>
      <c r="B40" s="30" t="n">
        <f aca="false">MIN(G25,F32)</f>
        <v>1.06666666666667</v>
      </c>
      <c r="C40" s="30" t="n">
        <f aca="false">MAX(G27,F34)</f>
        <v>5.55555555555556</v>
      </c>
    </row>
    <row r="41" customFormat="false" ht="15" hidden="false" customHeight="false" outlineLevel="0" collapsed="false">
      <c r="A41" s="14" t="s">
        <v>129</v>
      </c>
      <c r="B41" s="30" t="n">
        <f aca="false">B36/B11</f>
        <v>2.57142857142857</v>
      </c>
    </row>
    <row r="43" customFormat="false" ht="15" hidden="false" customHeight="false" outlineLevel="0" collapsed="false">
      <c r="A43" s="13" t="s">
        <v>130</v>
      </c>
      <c r="B43" s="13"/>
      <c r="C43" s="13"/>
      <c r="D43" s="13"/>
      <c r="E43" s="13"/>
      <c r="F43" s="13"/>
      <c r="G43" s="13"/>
      <c r="H43" s="13"/>
      <c r="I43" s="13"/>
    </row>
    <row r="44" customFormat="false" ht="15" hidden="false" customHeight="false" outlineLevel="0" collapsed="false">
      <c r="A44" s="2" t="s">
        <v>260</v>
      </c>
    </row>
    <row r="45" customFormat="false" ht="15" hidden="false" customHeight="false" outlineLevel="0" collapsed="false">
      <c r="A45" s="2" t="s">
        <v>261</v>
      </c>
    </row>
    <row r="46" customFormat="false" ht="15" hidden="false" customHeight="false" outlineLevel="0" collapsed="false">
      <c r="A46" s="2" t="s">
        <v>262</v>
      </c>
    </row>
    <row r="47" customFormat="false" ht="15" hidden="false" customHeight="false" outlineLevel="0" collapsed="false">
      <c r="A47" s="2" t="s">
        <v>263</v>
      </c>
    </row>
    <row r="48" customFormat="false" ht="15" hidden="false" customHeight="false" outlineLevel="0" collapsed="false">
      <c r="A48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36"/>
    <col collapsed="false" customWidth="true" hidden="false" outlineLevel="0" max="9" min="5" style="0" width="13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12" t="s">
        <v>56</v>
      </c>
    </row>
    <row r="4" customFormat="false" ht="15" hidden="false" customHeight="false" outlineLevel="0" collapsed="false">
      <c r="A4" s="13" t="s">
        <v>82</v>
      </c>
      <c r="B4" s="13"/>
      <c r="C4" s="13"/>
      <c r="D4" s="13"/>
      <c r="E4" s="13"/>
      <c r="F4" s="13"/>
      <c r="G4" s="13"/>
      <c r="H4" s="13"/>
      <c r="I4" s="13"/>
    </row>
    <row r="5" customFormat="false" ht="15" hidden="false" customHeight="false" outlineLevel="0" collapsed="false">
      <c r="A5" s="14" t="s">
        <v>83</v>
      </c>
      <c r="B5" s="14" t="s">
        <v>57</v>
      </c>
    </row>
    <row r="6" customFormat="false" ht="15" hidden="false" customHeight="false" outlineLevel="0" collapsed="false">
      <c r="A6" s="14" t="s">
        <v>84</v>
      </c>
      <c r="B6" s="15" t="n">
        <v>4.4</v>
      </c>
    </row>
    <row r="7" customFormat="false" ht="15" hidden="false" customHeight="false" outlineLevel="0" collapsed="false">
      <c r="A7" s="14" t="s">
        <v>85</v>
      </c>
      <c r="B7" s="15" t="n">
        <v>4.4</v>
      </c>
    </row>
    <row r="8" customFormat="false" ht="15" hidden="false" customHeight="false" outlineLevel="0" collapsed="false">
      <c r="A8" s="14" t="s">
        <v>86</v>
      </c>
      <c r="B8" s="16" t="n">
        <v>0.08</v>
      </c>
    </row>
    <row r="9" customFormat="false" ht="15" hidden="false" customHeight="false" outlineLevel="0" collapsed="false">
      <c r="A9" s="14" t="s">
        <v>87</v>
      </c>
      <c r="B9" s="16" t="n">
        <v>0.15</v>
      </c>
    </row>
    <row r="10" customFormat="false" ht="15" hidden="false" customHeight="false" outlineLevel="0" collapsed="false">
      <c r="A10" s="14" t="s">
        <v>88</v>
      </c>
      <c r="B10" s="15" t="n">
        <v>4.4</v>
      </c>
    </row>
    <row r="11" customFormat="false" ht="15" hidden="false" customHeight="false" outlineLevel="0" collapsed="false">
      <c r="A11" s="14" t="s">
        <v>89</v>
      </c>
      <c r="B11" s="15" t="n">
        <v>4.8</v>
      </c>
    </row>
    <row r="12" customFormat="false" ht="15" hidden="false" customHeight="false" outlineLevel="0" collapsed="false">
      <c r="A12" s="14" t="s">
        <v>90</v>
      </c>
      <c r="B12" s="17" t="n">
        <f aca="false">AVERAGE(B10:B11)</f>
        <v>4.6</v>
      </c>
    </row>
    <row r="13" customFormat="false" ht="42" hidden="false" customHeight="true" outlineLevel="0" collapsed="false">
      <c r="A13" s="14" t="s">
        <v>91</v>
      </c>
      <c r="B13" s="18" t="s">
        <v>264</v>
      </c>
    </row>
    <row r="15" customFormat="false" ht="15" hidden="false" customHeight="false" outlineLevel="0" collapsed="false">
      <c r="A15" s="13" t="s">
        <v>93</v>
      </c>
      <c r="B15" s="13"/>
      <c r="C15" s="13"/>
      <c r="D15" s="13"/>
      <c r="E15" s="13"/>
      <c r="F15" s="13"/>
      <c r="G15" s="13"/>
      <c r="H15" s="13"/>
      <c r="I15" s="13"/>
    </row>
    <row r="16" customFormat="false" ht="15" hidden="false" customHeight="false" outlineLevel="0" collapsed="false">
      <c r="A16" s="19" t="s">
        <v>2</v>
      </c>
      <c r="B16" s="19" t="s">
        <v>94</v>
      </c>
      <c r="C16" s="19" t="s">
        <v>95</v>
      </c>
    </row>
    <row r="17" customFormat="false" ht="15" hidden="false" customHeight="false" outlineLevel="0" collapsed="false">
      <c r="A17" s="20" t="s">
        <v>265</v>
      </c>
      <c r="B17" s="21" t="n">
        <v>21.1</v>
      </c>
      <c r="C17" s="22" t="s">
        <v>266</v>
      </c>
    </row>
    <row r="18" customFormat="false" ht="15" hidden="false" customHeight="false" outlineLevel="0" collapsed="false">
      <c r="A18" s="20" t="s">
        <v>98</v>
      </c>
      <c r="B18" s="21" t="n">
        <v>20.6</v>
      </c>
      <c r="C18" s="22" t="s">
        <v>167</v>
      </c>
    </row>
    <row r="19" customFormat="false" ht="15" hidden="false" customHeight="false" outlineLevel="0" collapsed="false">
      <c r="A19" s="20" t="s">
        <v>194</v>
      </c>
      <c r="B19" s="21" t="n">
        <v>14.2</v>
      </c>
      <c r="C19" s="22" t="s">
        <v>267</v>
      </c>
    </row>
    <row r="20" customFormat="false" ht="15" hidden="false" customHeight="false" outlineLevel="0" collapsed="false">
      <c r="A20" s="20" t="s">
        <v>268</v>
      </c>
      <c r="B20" s="21" t="n">
        <v>10.3</v>
      </c>
      <c r="C20" s="22" t="s">
        <v>269</v>
      </c>
    </row>
    <row r="21" customFormat="false" ht="15" hidden="false" customHeight="false" outlineLevel="0" collapsed="false">
      <c r="A21" s="20" t="s">
        <v>196</v>
      </c>
      <c r="B21" s="21" t="n">
        <v>9.4</v>
      </c>
      <c r="C21" s="22" t="s">
        <v>267</v>
      </c>
    </row>
    <row r="23" customFormat="false" ht="15" hidden="false" customHeight="false" outlineLevel="0" collapsed="false">
      <c r="A23" s="13" t="s">
        <v>104</v>
      </c>
      <c r="B23" s="13"/>
      <c r="C23" s="13"/>
      <c r="D23" s="13"/>
      <c r="E23" s="13"/>
      <c r="F23" s="13"/>
      <c r="G23" s="13"/>
      <c r="H23" s="13"/>
      <c r="I23" s="13"/>
    </row>
    <row r="24" customFormat="false" ht="30" hidden="false" customHeight="true" outlineLevel="0" collapsed="false">
      <c r="A24" s="3" t="s">
        <v>105</v>
      </c>
      <c r="B24" s="3" t="s">
        <v>106</v>
      </c>
      <c r="C24" s="3" t="s">
        <v>107</v>
      </c>
      <c r="D24" s="3" t="s">
        <v>108</v>
      </c>
      <c r="E24" s="3" t="s">
        <v>109</v>
      </c>
      <c r="F24" s="3" t="s">
        <v>110</v>
      </c>
      <c r="G24" s="3" t="s">
        <v>111</v>
      </c>
      <c r="H24" s="3" t="s">
        <v>112</v>
      </c>
      <c r="I24" s="3" t="s">
        <v>113</v>
      </c>
    </row>
    <row r="25" customFormat="false" ht="15" hidden="false" customHeight="false" outlineLevel="0" collapsed="false">
      <c r="A25" s="20" t="s">
        <v>114</v>
      </c>
      <c r="B25" s="23" t="s">
        <v>146</v>
      </c>
      <c r="C25" s="24" t="n">
        <v>3</v>
      </c>
      <c r="D25" s="25" t="n">
        <v>0.4</v>
      </c>
      <c r="E25" s="26" t="n">
        <v>10</v>
      </c>
      <c r="F25" s="27" t="n">
        <f aca="false">D25*E25</f>
        <v>4</v>
      </c>
      <c r="G25" s="28" t="n">
        <f aca="false">F25/B12</f>
        <v>0.869565217391304</v>
      </c>
      <c r="H25" s="29" t="n">
        <f aca="false">G25-1</f>
        <v>-0.130434782608696</v>
      </c>
      <c r="I25" s="29" t="n">
        <f aca="false">G25^(1/C25)-1</f>
        <v>-0.0455187827608644</v>
      </c>
    </row>
    <row r="26" customFormat="false" ht="15" hidden="false" customHeight="false" outlineLevel="0" collapsed="false">
      <c r="A26" s="20" t="s">
        <v>116</v>
      </c>
      <c r="B26" s="23" t="s">
        <v>147</v>
      </c>
      <c r="C26" s="24" t="n">
        <v>3.5</v>
      </c>
      <c r="D26" s="25" t="n">
        <v>1</v>
      </c>
      <c r="E26" s="26" t="n">
        <v>14</v>
      </c>
      <c r="F26" s="27" t="n">
        <f aca="false">D26*E26</f>
        <v>14</v>
      </c>
      <c r="G26" s="28" t="n">
        <f aca="false">F26/B12</f>
        <v>3.04347826086957</v>
      </c>
      <c r="H26" s="29" t="n">
        <f aca="false">G26-1</f>
        <v>2.04347826086957</v>
      </c>
      <c r="I26" s="29" t="n">
        <f aca="false">G26^(1/C26)-1</f>
        <v>0.374376664163408</v>
      </c>
    </row>
    <row r="27" customFormat="false" ht="15" hidden="false" customHeight="false" outlineLevel="0" collapsed="false">
      <c r="A27" s="20" t="s">
        <v>118</v>
      </c>
      <c r="B27" s="23" t="s">
        <v>197</v>
      </c>
      <c r="C27" s="24" t="n">
        <v>4.5</v>
      </c>
      <c r="D27" s="25" t="n">
        <v>2.5</v>
      </c>
      <c r="E27" s="26" t="n">
        <v>18</v>
      </c>
      <c r="F27" s="27" t="n">
        <f aca="false">D27*E27</f>
        <v>45</v>
      </c>
      <c r="G27" s="28" t="n">
        <f aca="false">F27/B12</f>
        <v>9.78260869565217</v>
      </c>
      <c r="H27" s="29" t="n">
        <f aca="false">G27-1</f>
        <v>8.78260869565217</v>
      </c>
      <c r="I27" s="29" t="n">
        <f aca="false">G27^(1/C27)-1</f>
        <v>0.659973062335149</v>
      </c>
    </row>
    <row r="28" customFormat="false" ht="30" hidden="false" customHeight="true" outlineLevel="0" collapsed="false">
      <c r="A28" s="18" t="s">
        <v>270</v>
      </c>
    </row>
    <row r="30" customFormat="false" ht="15" hidden="false" customHeight="false" outlineLevel="0" collapsed="false">
      <c r="A30" s="13" t="s">
        <v>120</v>
      </c>
      <c r="B30" s="13"/>
      <c r="C30" s="13"/>
      <c r="D30" s="13"/>
      <c r="E30" s="13"/>
      <c r="F30" s="13"/>
      <c r="G30" s="13"/>
      <c r="H30" s="13"/>
      <c r="I30" s="13"/>
    </row>
    <row r="31" customFormat="false" ht="30" hidden="false" customHeight="true" outlineLevel="0" collapsed="false">
      <c r="A31" s="3" t="s">
        <v>105</v>
      </c>
      <c r="B31" s="3" t="s">
        <v>106</v>
      </c>
      <c r="C31" s="3" t="s">
        <v>107</v>
      </c>
      <c r="D31" s="3" t="s">
        <v>121</v>
      </c>
      <c r="E31" s="3" t="s">
        <v>110</v>
      </c>
      <c r="F31" s="3" t="s">
        <v>111</v>
      </c>
      <c r="G31" s="3" t="s">
        <v>112</v>
      </c>
      <c r="H31" s="3" t="s">
        <v>113</v>
      </c>
    </row>
    <row r="32" customFormat="false" ht="23.85" hidden="false" customHeight="false" outlineLevel="0" collapsed="false">
      <c r="A32" s="20" t="s">
        <v>114</v>
      </c>
      <c r="B32" s="23" t="s">
        <v>146</v>
      </c>
      <c r="C32" s="24" t="n">
        <v>3</v>
      </c>
      <c r="D32" s="5" t="s">
        <v>271</v>
      </c>
      <c r="E32" s="25" t="n">
        <v>5.5</v>
      </c>
      <c r="F32" s="28" t="n">
        <f aca="false">E32/B12</f>
        <v>1.19565217391304</v>
      </c>
      <c r="G32" s="29" t="n">
        <f aca="false">F32-1</f>
        <v>0.195652173913044</v>
      </c>
      <c r="H32" s="29" t="n">
        <f aca="false">F32^(1/C32)-1</f>
        <v>0.0613736119811017</v>
      </c>
    </row>
    <row r="33" customFormat="false" ht="23.85" hidden="false" customHeight="false" outlineLevel="0" collapsed="false">
      <c r="A33" s="20" t="s">
        <v>116</v>
      </c>
      <c r="B33" s="23" t="s">
        <v>147</v>
      </c>
      <c r="C33" s="24" t="n">
        <v>3.5</v>
      </c>
      <c r="D33" s="5" t="s">
        <v>272</v>
      </c>
      <c r="E33" s="25" t="n">
        <v>14</v>
      </c>
      <c r="F33" s="28" t="n">
        <f aca="false">E33/B12</f>
        <v>3.04347826086957</v>
      </c>
      <c r="G33" s="29" t="n">
        <f aca="false">F33-1</f>
        <v>2.04347826086957</v>
      </c>
      <c r="H33" s="29" t="n">
        <f aca="false">F33^(1/C33)-1</f>
        <v>0.374376664163408</v>
      </c>
    </row>
    <row r="34" customFormat="false" ht="15" hidden="false" customHeight="false" outlineLevel="0" collapsed="false">
      <c r="A34" s="20" t="s">
        <v>118</v>
      </c>
      <c r="B34" s="23" t="s">
        <v>197</v>
      </c>
      <c r="C34" s="24" t="n">
        <v>4.5</v>
      </c>
      <c r="D34" s="5" t="s">
        <v>273</v>
      </c>
      <c r="E34" s="25" t="n">
        <v>35</v>
      </c>
      <c r="F34" s="28" t="n">
        <f aca="false">E34/B12</f>
        <v>7.60869565217391</v>
      </c>
      <c r="G34" s="29" t="n">
        <f aca="false">F34-1</f>
        <v>6.60869565217391</v>
      </c>
      <c r="H34" s="29" t="n">
        <f aca="false">F34^(1/C34)-1</f>
        <v>0.569808635945926</v>
      </c>
    </row>
    <row r="35" customFormat="false" ht="15" hidden="false" customHeight="false" outlineLevel="0" collapsed="false">
      <c r="A35" s="13" t="s">
        <v>125</v>
      </c>
      <c r="B35" s="13"/>
      <c r="C35" s="13"/>
      <c r="D35" s="13"/>
      <c r="E35" s="13"/>
      <c r="F35" s="13"/>
      <c r="G35" s="13"/>
      <c r="H35" s="13"/>
      <c r="I35" s="13"/>
    </row>
    <row r="36" customFormat="false" ht="15" hidden="false" customHeight="false" outlineLevel="0" collapsed="false">
      <c r="A36" s="14" t="s">
        <v>126</v>
      </c>
      <c r="B36" s="17" t="n">
        <f aca="false">AVERAGE(F26,E33)</f>
        <v>14</v>
      </c>
    </row>
    <row r="37" customFormat="false" ht="15" hidden="false" customHeight="false" outlineLevel="0" collapsed="false">
      <c r="A37" s="14" t="s">
        <v>12</v>
      </c>
      <c r="B37" s="30" t="n">
        <f aca="false">B36/B12</f>
        <v>3.04347826086957</v>
      </c>
    </row>
    <row r="38" customFormat="false" ht="15" hidden="false" customHeight="false" outlineLevel="0" collapsed="false">
      <c r="A38" s="14" t="s">
        <v>13</v>
      </c>
      <c r="B38" s="31" t="n">
        <f aca="false">B37-1</f>
        <v>2.04347826086957</v>
      </c>
    </row>
    <row r="39" customFormat="false" ht="15" hidden="false" customHeight="false" outlineLevel="0" collapsed="false">
      <c r="A39" s="14" t="s">
        <v>127</v>
      </c>
      <c r="B39" s="31" t="n">
        <f aca="false">B37^(1/C26)-1</f>
        <v>0.374376664163408</v>
      </c>
    </row>
    <row r="40" customFormat="false" ht="15" hidden="false" customHeight="false" outlineLevel="0" collapsed="false">
      <c r="A40" s="14" t="s">
        <v>128</v>
      </c>
      <c r="B40" s="30" t="n">
        <f aca="false">MIN(G25,F32)</f>
        <v>0.869565217391304</v>
      </c>
      <c r="C40" s="30" t="n">
        <f aca="false">MAX(G27,F34)</f>
        <v>9.78260869565217</v>
      </c>
    </row>
    <row r="41" customFormat="false" ht="15" hidden="false" customHeight="false" outlineLevel="0" collapsed="false">
      <c r="A41" s="14" t="s">
        <v>129</v>
      </c>
      <c r="B41" s="30" t="n">
        <f aca="false">B36/B11</f>
        <v>2.91666666666667</v>
      </c>
    </row>
    <row r="43" customFormat="false" ht="15" hidden="false" customHeight="false" outlineLevel="0" collapsed="false">
      <c r="A43" s="13" t="s">
        <v>130</v>
      </c>
      <c r="B43" s="13"/>
      <c r="C43" s="13"/>
      <c r="D43" s="13"/>
      <c r="E43" s="13"/>
      <c r="F43" s="13"/>
      <c r="G43" s="13"/>
      <c r="H43" s="13"/>
      <c r="I43" s="13"/>
    </row>
    <row r="44" customFormat="false" ht="15" hidden="false" customHeight="false" outlineLevel="0" collapsed="false">
      <c r="A44" s="2" t="s">
        <v>274</v>
      </c>
    </row>
    <row r="45" customFormat="false" ht="15" hidden="false" customHeight="false" outlineLevel="0" collapsed="false">
      <c r="A45" s="2" t="s">
        <v>275</v>
      </c>
    </row>
    <row r="46" customFormat="false" ht="15" hidden="false" customHeight="false" outlineLevel="0" collapsed="false">
      <c r="A46" s="2" t="s">
        <v>276</v>
      </c>
    </row>
    <row r="47" customFormat="false" ht="15" hidden="false" customHeight="false" outlineLevel="0" collapsed="false">
      <c r="A47" s="2" t="s">
        <v>277</v>
      </c>
    </row>
    <row r="48" customFormat="false" ht="15" hidden="false" customHeight="false" outlineLevel="0" collapsed="false">
      <c r="A48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36"/>
    <col collapsed="false" customWidth="true" hidden="false" outlineLevel="0" max="9" min="5" style="0" width="13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12" t="s">
        <v>59</v>
      </c>
    </row>
    <row r="4" customFormat="false" ht="15" hidden="false" customHeight="false" outlineLevel="0" collapsed="false">
      <c r="A4" s="13" t="s">
        <v>82</v>
      </c>
      <c r="B4" s="13"/>
      <c r="C4" s="13"/>
      <c r="D4" s="13"/>
      <c r="E4" s="13"/>
      <c r="F4" s="13"/>
      <c r="G4" s="13"/>
      <c r="H4" s="13"/>
      <c r="I4" s="13"/>
    </row>
    <row r="5" customFormat="false" ht="15" hidden="false" customHeight="false" outlineLevel="0" collapsed="false">
      <c r="A5" s="14" t="s">
        <v>83</v>
      </c>
      <c r="B5" s="14" t="s">
        <v>60</v>
      </c>
    </row>
    <row r="6" customFormat="false" ht="15" hidden="false" customHeight="false" outlineLevel="0" collapsed="false">
      <c r="A6" s="14" t="s">
        <v>84</v>
      </c>
      <c r="B6" s="15" t="n">
        <v>7</v>
      </c>
    </row>
    <row r="7" customFormat="false" ht="15" hidden="false" customHeight="false" outlineLevel="0" collapsed="false">
      <c r="A7" s="14" t="s">
        <v>85</v>
      </c>
      <c r="B7" s="15" t="n">
        <v>7</v>
      </c>
    </row>
    <row r="8" customFormat="false" ht="15" hidden="false" customHeight="false" outlineLevel="0" collapsed="false">
      <c r="A8" s="14" t="s">
        <v>86</v>
      </c>
      <c r="B8" s="16" t="n">
        <v>0.08</v>
      </c>
    </row>
    <row r="9" customFormat="false" ht="15" hidden="false" customHeight="false" outlineLevel="0" collapsed="false">
      <c r="A9" s="14" t="s">
        <v>87</v>
      </c>
      <c r="B9" s="16" t="n">
        <v>0.15</v>
      </c>
    </row>
    <row r="10" customFormat="false" ht="15" hidden="false" customHeight="false" outlineLevel="0" collapsed="false">
      <c r="A10" s="14" t="s">
        <v>88</v>
      </c>
      <c r="B10" s="17" t="n">
        <f aca="false">B7*(1+B8)</f>
        <v>7.56</v>
      </c>
    </row>
    <row r="11" customFormat="false" ht="15" hidden="false" customHeight="false" outlineLevel="0" collapsed="false">
      <c r="A11" s="14" t="s">
        <v>89</v>
      </c>
      <c r="B11" s="17" t="n">
        <f aca="false">B7*(1+B9)</f>
        <v>8.05</v>
      </c>
    </row>
    <row r="12" customFormat="false" ht="15" hidden="false" customHeight="false" outlineLevel="0" collapsed="false">
      <c r="A12" s="14" t="s">
        <v>90</v>
      </c>
      <c r="B12" s="17" t="n">
        <f aca="false">AVERAGE(B10:B11)</f>
        <v>7.805</v>
      </c>
    </row>
    <row r="13" customFormat="false" ht="42" hidden="false" customHeight="true" outlineLevel="0" collapsed="false">
      <c r="A13" s="14" t="s">
        <v>91</v>
      </c>
      <c r="B13" s="18" t="s">
        <v>278</v>
      </c>
    </row>
    <row r="15" customFormat="false" ht="15" hidden="false" customHeight="false" outlineLevel="0" collapsed="false">
      <c r="A15" s="13" t="s">
        <v>93</v>
      </c>
      <c r="B15" s="13"/>
      <c r="C15" s="13"/>
      <c r="D15" s="13"/>
      <c r="E15" s="13"/>
      <c r="F15" s="13"/>
      <c r="G15" s="13"/>
      <c r="H15" s="13"/>
      <c r="I15" s="13"/>
    </row>
    <row r="16" customFormat="false" ht="15" hidden="false" customHeight="false" outlineLevel="0" collapsed="false">
      <c r="A16" s="19" t="s">
        <v>2</v>
      </c>
      <c r="B16" s="19" t="s">
        <v>94</v>
      </c>
      <c r="C16" s="19" t="s">
        <v>95</v>
      </c>
    </row>
    <row r="17" customFormat="false" ht="15" hidden="false" customHeight="false" outlineLevel="0" collapsed="false">
      <c r="A17" s="20" t="s">
        <v>279</v>
      </c>
      <c r="B17" s="21" t="n">
        <v>58</v>
      </c>
      <c r="C17" s="22" t="s">
        <v>280</v>
      </c>
    </row>
    <row r="18" customFormat="false" ht="15" hidden="false" customHeight="false" outlineLevel="0" collapsed="false">
      <c r="A18" s="20" t="s">
        <v>281</v>
      </c>
      <c r="B18" s="21" t="n">
        <v>200</v>
      </c>
      <c r="C18" s="22" t="s">
        <v>282</v>
      </c>
    </row>
    <row r="19" customFormat="false" ht="15" hidden="false" customHeight="false" outlineLevel="0" collapsed="false">
      <c r="A19" s="20" t="s">
        <v>283</v>
      </c>
      <c r="B19" s="21" t="n">
        <v>157</v>
      </c>
      <c r="C19" s="22" t="s">
        <v>284</v>
      </c>
    </row>
    <row r="20" customFormat="false" ht="15" hidden="false" customHeight="false" outlineLevel="0" collapsed="false">
      <c r="A20" s="20" t="s">
        <v>285</v>
      </c>
      <c r="B20" s="21" t="n">
        <v>15.6</v>
      </c>
      <c r="C20" s="22" t="s">
        <v>286</v>
      </c>
    </row>
    <row r="23" customFormat="false" ht="15" hidden="false" customHeight="false" outlineLevel="0" collapsed="false">
      <c r="A23" s="13" t="s">
        <v>104</v>
      </c>
      <c r="B23" s="13"/>
      <c r="C23" s="13"/>
      <c r="D23" s="13"/>
      <c r="E23" s="13"/>
      <c r="F23" s="13"/>
      <c r="G23" s="13"/>
      <c r="H23" s="13"/>
      <c r="I23" s="13"/>
    </row>
    <row r="24" customFormat="false" ht="30" hidden="false" customHeight="true" outlineLevel="0" collapsed="false">
      <c r="A24" s="3" t="s">
        <v>105</v>
      </c>
      <c r="B24" s="3" t="s">
        <v>106</v>
      </c>
      <c r="C24" s="3" t="s">
        <v>107</v>
      </c>
      <c r="D24" s="3" t="s">
        <v>108</v>
      </c>
      <c r="E24" s="3" t="s">
        <v>109</v>
      </c>
      <c r="F24" s="3" t="s">
        <v>110</v>
      </c>
      <c r="G24" s="3" t="s">
        <v>111</v>
      </c>
      <c r="H24" s="3" t="s">
        <v>112</v>
      </c>
      <c r="I24" s="3" t="s">
        <v>113</v>
      </c>
    </row>
    <row r="25" customFormat="false" ht="15" hidden="false" customHeight="false" outlineLevel="0" collapsed="false">
      <c r="A25" s="20" t="s">
        <v>114</v>
      </c>
      <c r="B25" s="23" t="s">
        <v>146</v>
      </c>
      <c r="C25" s="24" t="n">
        <v>3.5</v>
      </c>
      <c r="D25" s="25" t="n">
        <v>0.3</v>
      </c>
      <c r="E25" s="26" t="n">
        <v>25</v>
      </c>
      <c r="F25" s="27" t="n">
        <f aca="false">D25*E25</f>
        <v>7.5</v>
      </c>
      <c r="G25" s="28" t="n">
        <f aca="false">F25/B12</f>
        <v>0.960922485586163</v>
      </c>
      <c r="H25" s="29" t="n">
        <f aca="false">G25-1</f>
        <v>-0.0390775144138372</v>
      </c>
      <c r="I25" s="29" t="n">
        <f aca="false">G25^(1/C25)-1</f>
        <v>-0.011324400291871</v>
      </c>
    </row>
    <row r="26" customFormat="false" ht="15" hidden="false" customHeight="false" outlineLevel="0" collapsed="false">
      <c r="A26" s="20" t="s">
        <v>116</v>
      </c>
      <c r="B26" s="23" t="s">
        <v>147</v>
      </c>
      <c r="C26" s="24" t="n">
        <v>4.5</v>
      </c>
      <c r="D26" s="25" t="n">
        <v>1</v>
      </c>
      <c r="E26" s="26" t="n">
        <v>30</v>
      </c>
      <c r="F26" s="27" t="n">
        <f aca="false">D26*E26</f>
        <v>30</v>
      </c>
      <c r="G26" s="28" t="n">
        <f aca="false">F26/B12</f>
        <v>3.84368994234465</v>
      </c>
      <c r="H26" s="29" t="n">
        <f aca="false">G26-1</f>
        <v>2.84368994234465</v>
      </c>
      <c r="I26" s="29" t="n">
        <f aca="false">G26^(1/C26)-1</f>
        <v>0.348789191809236</v>
      </c>
    </row>
    <row r="27" customFormat="false" ht="15" hidden="false" customHeight="false" outlineLevel="0" collapsed="false">
      <c r="A27" s="20" t="s">
        <v>118</v>
      </c>
      <c r="B27" s="23" t="s">
        <v>197</v>
      </c>
      <c r="C27" s="24" t="n">
        <v>5.5</v>
      </c>
      <c r="D27" s="25" t="n">
        <v>2.5</v>
      </c>
      <c r="E27" s="26" t="n">
        <v>35</v>
      </c>
      <c r="F27" s="27" t="n">
        <f aca="false">D27*E27</f>
        <v>87.5</v>
      </c>
      <c r="G27" s="28" t="n">
        <f aca="false">F27/B12</f>
        <v>11.2107623318386</v>
      </c>
      <c r="H27" s="29" t="n">
        <f aca="false">G27-1</f>
        <v>10.2107623318386</v>
      </c>
      <c r="I27" s="29" t="n">
        <f aca="false">G27^(1/C27)-1</f>
        <v>0.551825034479653</v>
      </c>
    </row>
    <row r="28" customFormat="false" ht="30" hidden="false" customHeight="true" outlineLevel="0" collapsed="false">
      <c r="A28" s="18" t="s">
        <v>287</v>
      </c>
    </row>
    <row r="30" customFormat="false" ht="15" hidden="false" customHeight="false" outlineLevel="0" collapsed="false">
      <c r="A30" s="13" t="s">
        <v>120</v>
      </c>
      <c r="B30" s="13"/>
      <c r="C30" s="13"/>
      <c r="D30" s="13"/>
      <c r="E30" s="13"/>
      <c r="F30" s="13"/>
      <c r="G30" s="13"/>
      <c r="H30" s="13"/>
      <c r="I30" s="13"/>
    </row>
    <row r="31" customFormat="false" ht="30" hidden="false" customHeight="true" outlineLevel="0" collapsed="false">
      <c r="A31" s="3" t="s">
        <v>105</v>
      </c>
      <c r="B31" s="3" t="s">
        <v>106</v>
      </c>
      <c r="C31" s="3" t="s">
        <v>107</v>
      </c>
      <c r="D31" s="3" t="s">
        <v>121</v>
      </c>
      <c r="E31" s="3" t="s">
        <v>110</v>
      </c>
      <c r="F31" s="3" t="s">
        <v>111</v>
      </c>
      <c r="G31" s="3" t="s">
        <v>112</v>
      </c>
      <c r="H31" s="3" t="s">
        <v>113</v>
      </c>
    </row>
    <row r="32" customFormat="false" ht="15" hidden="false" customHeight="false" outlineLevel="0" collapsed="false">
      <c r="A32" s="20" t="s">
        <v>114</v>
      </c>
      <c r="B32" s="23" t="s">
        <v>146</v>
      </c>
      <c r="C32" s="24" t="n">
        <v>3.5</v>
      </c>
      <c r="D32" s="5" t="s">
        <v>288</v>
      </c>
      <c r="E32" s="25" t="n">
        <v>8</v>
      </c>
      <c r="F32" s="28" t="n">
        <f aca="false">E32/B12</f>
        <v>1.02498398462524</v>
      </c>
      <c r="G32" s="29" t="n">
        <f aca="false">F32-1</f>
        <v>0.0249839846252402</v>
      </c>
      <c r="H32" s="29" t="n">
        <f aca="false">F32^(1/C32)-1</f>
        <v>0.00707548168948358</v>
      </c>
    </row>
    <row r="33" customFormat="false" ht="23.85" hidden="false" customHeight="false" outlineLevel="0" collapsed="false">
      <c r="A33" s="20" t="s">
        <v>116</v>
      </c>
      <c r="B33" s="23" t="s">
        <v>147</v>
      </c>
      <c r="C33" s="24" t="n">
        <v>4.5</v>
      </c>
      <c r="D33" s="5" t="s">
        <v>289</v>
      </c>
      <c r="E33" s="25" t="n">
        <v>30</v>
      </c>
      <c r="F33" s="28" t="n">
        <f aca="false">E33/B12</f>
        <v>3.84368994234465</v>
      </c>
      <c r="G33" s="29" t="n">
        <f aca="false">F33-1</f>
        <v>2.84368994234465</v>
      </c>
      <c r="H33" s="29" t="n">
        <f aca="false">F33^(1/C33)-1</f>
        <v>0.348789191809236</v>
      </c>
    </row>
    <row r="34" customFormat="false" ht="23.85" hidden="false" customHeight="false" outlineLevel="0" collapsed="false">
      <c r="A34" s="20" t="s">
        <v>118</v>
      </c>
      <c r="B34" s="23" t="s">
        <v>197</v>
      </c>
      <c r="C34" s="24" t="n">
        <v>5.5</v>
      </c>
      <c r="D34" s="5" t="s">
        <v>290</v>
      </c>
      <c r="E34" s="25" t="n">
        <v>70</v>
      </c>
      <c r="F34" s="28" t="n">
        <f aca="false">E34/B12</f>
        <v>8.96860986547085</v>
      </c>
      <c r="G34" s="29" t="n">
        <f aca="false">F34-1</f>
        <v>7.96860986547085</v>
      </c>
      <c r="H34" s="29" t="n">
        <f aca="false">F34^(1/C34)-1</f>
        <v>0.490125172928693</v>
      </c>
    </row>
    <row r="35" customFormat="false" ht="15" hidden="false" customHeight="false" outlineLevel="0" collapsed="false">
      <c r="A35" s="13" t="s">
        <v>125</v>
      </c>
      <c r="B35" s="13"/>
      <c r="C35" s="13"/>
      <c r="D35" s="13"/>
      <c r="E35" s="13"/>
      <c r="F35" s="13"/>
      <c r="G35" s="13"/>
      <c r="H35" s="13"/>
      <c r="I35" s="13"/>
    </row>
    <row r="36" customFormat="false" ht="15" hidden="false" customHeight="false" outlineLevel="0" collapsed="false">
      <c r="A36" s="14" t="s">
        <v>126</v>
      </c>
      <c r="B36" s="17" t="n">
        <f aca="false">AVERAGE(F26,E33)</f>
        <v>30</v>
      </c>
    </row>
    <row r="37" customFormat="false" ht="15" hidden="false" customHeight="false" outlineLevel="0" collapsed="false">
      <c r="A37" s="14" t="s">
        <v>12</v>
      </c>
      <c r="B37" s="30" t="n">
        <f aca="false">B36/B12</f>
        <v>3.84368994234465</v>
      </c>
    </row>
    <row r="38" customFormat="false" ht="15" hidden="false" customHeight="false" outlineLevel="0" collapsed="false">
      <c r="A38" s="14" t="s">
        <v>13</v>
      </c>
      <c r="B38" s="31" t="n">
        <f aca="false">B37-1</f>
        <v>2.84368994234465</v>
      </c>
    </row>
    <row r="39" customFormat="false" ht="15" hidden="false" customHeight="false" outlineLevel="0" collapsed="false">
      <c r="A39" s="14" t="s">
        <v>127</v>
      </c>
      <c r="B39" s="31" t="n">
        <f aca="false">B37^(1/C26)-1</f>
        <v>0.348789191809236</v>
      </c>
    </row>
    <row r="40" customFormat="false" ht="15" hidden="false" customHeight="false" outlineLevel="0" collapsed="false">
      <c r="A40" s="14" t="s">
        <v>128</v>
      </c>
      <c r="B40" s="30" t="n">
        <f aca="false">MIN(G25,F32)</f>
        <v>0.960922485586163</v>
      </c>
      <c r="C40" s="30" t="n">
        <f aca="false">MAX(G27,F34)</f>
        <v>11.2107623318386</v>
      </c>
    </row>
    <row r="41" customFormat="false" ht="15" hidden="false" customHeight="false" outlineLevel="0" collapsed="false">
      <c r="A41" s="14" t="s">
        <v>129</v>
      </c>
      <c r="B41" s="30" t="n">
        <f aca="false">B36/B11</f>
        <v>3.72670807453416</v>
      </c>
    </row>
    <row r="43" customFormat="false" ht="15" hidden="false" customHeight="false" outlineLevel="0" collapsed="false">
      <c r="A43" s="13" t="s">
        <v>130</v>
      </c>
      <c r="B43" s="13"/>
      <c r="C43" s="13"/>
      <c r="D43" s="13"/>
      <c r="E43" s="13"/>
      <c r="F43" s="13"/>
      <c r="G43" s="13"/>
      <c r="H43" s="13"/>
      <c r="I43" s="13"/>
    </row>
    <row r="44" customFormat="false" ht="15" hidden="false" customHeight="false" outlineLevel="0" collapsed="false">
      <c r="A44" s="2" t="s">
        <v>291</v>
      </c>
    </row>
    <row r="45" customFormat="false" ht="15" hidden="false" customHeight="false" outlineLevel="0" collapsed="false">
      <c r="A45" s="2" t="s">
        <v>292</v>
      </c>
    </row>
    <row r="46" customFormat="false" ht="15" hidden="false" customHeight="false" outlineLevel="0" collapsed="false">
      <c r="A46" s="2" t="s">
        <v>293</v>
      </c>
    </row>
    <row r="47" customFormat="false" ht="15" hidden="false" customHeight="false" outlineLevel="0" collapsed="false">
      <c r="A47" s="2" t="s">
        <v>294</v>
      </c>
    </row>
    <row r="48" customFormat="false" ht="15" hidden="false" customHeight="false" outlineLevel="0" collapsed="false">
      <c r="A48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2026-08-24T12:02:43Z</dcterms:created>
  <dc:creator>openpyxl</dc:creator>
  <dc:description/>
  <dc:language>en-US</dc:language>
  <cp:lastModifiedBy/>
  <dcterms:modified xsi:type="dcterms:W3CDTF">2026-08-24T12:02:43Z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
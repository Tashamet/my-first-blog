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<sst xmlns="http://schemas.openxmlformats.org/spreadsheetml/2006/main" count="581" uniqueCount="202">
  <si>
    <t xml:space="preserve">Veligera Capital — pipeline сделок: расчёт доходности</t>
  </si>
  <si>
    <t xml:space="preserve">Данные на 24.08.2026. Все суммы в $ млрд. Цена на вторичном рынке — премия 8–15% к оценке раунда; индикативна,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</si>
  <si>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</si>
  <si>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</si>
  <si>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</si>
  <si>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</si>
  <si>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</si>
  <si>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 (+8%)</t>
  </si>
  <si>
    <t xml:space="preserve">Вторичный рынок: верх (+15%)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</si>
  <si>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</si>
  <si>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</si>
  <si>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</si>
  <si>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</si>
  <si>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</si>
  <si>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</si>
  <si>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</si>
  <si>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</si>
  <si>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</si>
  <si>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</si>
  <si>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</si>
  <si>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</si>
  <si>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</si>
  <si>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</si>
  <si>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</si>
  <si>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2–3 года (IPO 2027–2029)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</si>
  <si>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</si>
  <si>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</si>
  <si>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</si>
  <si>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4–5 лет (IPO ~2030)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</si>
  <si>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</si>
  <si>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</si>
  <si>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</si>
  <si>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2–4 года (IPO 2028–2030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</si>
  <si>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</si>
  <si>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</si>
  <si>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</si>
  <si>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1–3 года (IPO ~2027)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</si>
  <si>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</si>
  <si>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</si>
  <si>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</si>
  <si>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2028–2030)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</si>
  <si>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</si>
  <si>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</si>
  <si>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</si>
  <si>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</si>
  <si>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</si>
  <si>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</si>
  <si>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</si>
  <si>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</si>
  <si>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</si>
  <si>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Премия 8% (нижняя граница) — 15% (верхняя граница) к оценке раунда. Для 1X и Positron AI, где закрытый раунд устарел, премия считается от оценки идущего раунда. Диапазон индикативен;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</si>
  <si>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</si>
  <si>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</si>
  <si>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</si>
  <si>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</si>
  <si>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</si>
  <si>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</si>
  <si>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</si>
  <si>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</si>
  <si>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</si>
  <si>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</si>
  <si>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</si>
  <si>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</si>
  <si>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</si>
  <si>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</si>
  <si>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</si>
  <si>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</si>
  <si>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</si>
  <si>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</si>
  <si>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</si>
  <si>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</si>
  <si>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</si>
  <si>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</si>
  <si>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</si>
  <si>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</si>
  <si>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</si>
  <si>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</si>
  <si>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</si>
  <si>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</si>
  <si>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</si>
  <si>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</si>
  <si>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</si>
  <si>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</si>
  <si>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</si>
  <si>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</si>
  <si>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</si>
  <si>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</si>
  <si>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</si>
  <si>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</si>
  <si>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</si>
  <si>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</si>
  <si>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</si>
  <si>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</si>
  <si>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</si>
  <si>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</si>
  <si>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</si>
  <si>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</si>
  <si>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</si>
  <si>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</si>
  <si>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</si>
  <si>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</si>
  <si>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</si>
  <si>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</si>
  <si>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</si>
  <si>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</si>
  <si>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</si>
  <si>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</si>
  <si>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</si>
  <si>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</si>
  <si>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</si>
  <si>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</si>
  <si>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</si>
  <si>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</si>
  <si>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</si>
  <si>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</si>
  <si>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</si>
  <si>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</si>
  <si>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</si>
  <si>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= премия 8–15% к оценке последнего раунда. Forge: $174.00/акция (13–15.08.2026), Nasdaq Private Market $162.71 (16.06.2026) — торгуется вблизи отметки Series C.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</si>
  <si>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</si>
  <si>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</si>
  <si>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</si>
  <si>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</si>
  <si>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</si>
  <si>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</si>
  <si>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</si>
  <si>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</si>
  <si>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</si>
  <si>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</si>
  <si>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</si>
  <si>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</si>
  <si>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</si>
  <si>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</si>
  <si>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</si>
  <si>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</si>
  <si>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</si>
  <si>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</si>
  <si>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= премия 8–15% к оценке последнего раунда.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</si>
  <si>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</si>
  <si>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</si>
  <si>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2030</t>
  </si>
  <si>
    <t xml:space="preserve">2031</t>
  </si>
  <si>
    <t xml:space="preserve">Цель — 100 тыс. роботов/год к концу 2027. Парк 250–400 тыс. штук к 2030 при $20 тыс. за робота или $6 тыс./год подписки даёт выручку $4–6 млрд (целевой сценарий — $5 млрд).</t>
  </si>
  <si>
    <t xml:space="preserve">Оценка на уровне идущего Series C ($10 млрд)</t>
  </si>
  <si>
    <t xml:space="preserve">Паритет с текущей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</si>
  <si>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</si>
  <si>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</si>
  <si>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</si>
  <si>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</si>
  <si>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= премия 8–15% к оценке последнего раунда. Bloomberg/CNBC (04.08.2026): раунд ~$1 млрд по оценке &gt;$20 млрд в переговорах — вторичные сделки идут с премией к апрельской отметке.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</si>
  <si>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</si>
  <si>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</si>
  <si>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</si>
  <si>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</si>
  <si>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</si>
  <si>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</si>
  <si>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</si>
  <si>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</si>
  <si>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</si>
  <si>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</si>
  <si>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</si>
  <si>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</si>
  <si>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</si>
  <si>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</si>
  <si>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</si>
  <si>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</si>
  <si>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</si>
  <si>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— фактические котировки вторичного рынка. Фактические сделки на вторичном рынке идут около $35 млрд: рынок уже отыгрывает раунд по оценке $40 млрд, который обсуждают Sequoia и Wellington (CoinDesk, 13.08.2026).</t>
  </si>
  <si>
    <t xml:space="preserve">биржа</t>
  </si>
  <si>
    <t xml:space="preserve">Выручка: $263.5 млн за 2025 → run-rate ~$4 млрд к июлю 2026. ~90% рынка США и обороты $21 млрд/мес; целевой сценарий — $8 млрд выручки к 2029 при сохранении доли.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</si>
  <si>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</si>
  <si>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</si>
  <si>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</si>
  <si>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</si>
  <si>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</si>
  <si>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</si>
  <si>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База для вторичного рынка, $ млрд (оценка идущего раунда)</t>
  </si>
  <si>
    <t xml:space="preserve">Диапазон = премия 8–15% к оценке идущего раунда (закрытый раунд устарел). Bloomberg (08.07.2026): раунд ~$750 млн двумя траншами по оценкам ~$3.5 и ~$5 млрд. Бумага торгуется на Forge/Caplight — цена уже кратно выше Series B.</t>
  </si>
  <si>
    <t xml:space="preserve">Broadcom</t>
  </si>
  <si>
    <t xml:space="preserve">AMD</t>
  </si>
  <si>
    <t xml:space="preserve">Marvell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</si>
  <si>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</si>
  <si>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</si>
  <si>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</si>
  <si>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</si>
  <si>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</si>
  <si>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</si>
  <si>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</si>
  <si>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= премия 8–15% к оценке последнего раунда.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</si>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</sst>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0.297785030013053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42.12</v>
      </c>
      <c r="G6" s="6" t="n">
        <f aca="false">'Figure AI'!B11</f>
        <v>44.85</v>
      </c>
      <c r="H6" s="6" t="n">
        <f aca="false">'Figure AI'!B12</f>
        <v>43.485</v>
      </c>
      <c r="I6" s="7" t="s">
        <v>24</v>
      </c>
      <c r="J6" s="6" t="n">
        <f aca="false">'Figure AI'!B36</f>
        <v>100</v>
      </c>
      <c r="K6" s="8" t="n">
        <f aca="false">'Figure AI'!B37</f>
        <v>2.29964355524894</v>
      </c>
      <c r="L6" s="9" t="n">
        <f aca="false">'Figure AI'!B38</f>
        <v>1.29964355524894</v>
      </c>
      <c r="M6" s="9" t="n">
        <f aca="false">'Figure AI'!B39</f>
        <v>0.319937928526136</v>
      </c>
      <c r="N6" s="8" t="n">
        <f aca="false">'Figure AI'!B40</f>
        <v>0.896860986547085</v>
      </c>
      <c r="O6" s="8" t="n">
        <f aca="false">'Figure AI'!C40</f>
        <v>4.9672300793377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10.8</v>
      </c>
      <c r="G7" s="6" t="n">
        <f aca="false">1X!B11</f>
        <v>11.5</v>
      </c>
      <c r="H7" s="6" t="n">
        <f aca="false">1X!B12</f>
        <v>11.15</v>
      </c>
      <c r="I7" s="7" t="s">
        <v>28</v>
      </c>
      <c r="J7" s="6" t="n">
        <f aca="false">1X!B36</f>
        <v>60</v>
      </c>
      <c r="K7" s="8" t="n">
        <f aca="false">1X!B37</f>
        <v>5.38116591928251</v>
      </c>
      <c r="L7" s="9" t="n">
        <f aca="false">1X!B38</f>
        <v>4.38116591928251</v>
      </c>
      <c r="M7" s="9" t="n">
        <f aca="false">1X!B39</f>
        <v>0.523067306155961</v>
      </c>
      <c r="N7" s="8" t="n">
        <f aca="false">1X!B40</f>
        <v>0.896860986547085</v>
      </c>
      <c r="O7" s="8" t="n">
        <f aca="false">1X!C40</f>
        <v>12.1076233183857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16.2</v>
      </c>
      <c r="G8" s="6" t="n">
        <f aca="false">Polymarket!B11</f>
        <v>17.25</v>
      </c>
      <c r="H8" s="6" t="n">
        <f aca="false">Polymarket!B12</f>
        <v>16.725</v>
      </c>
      <c r="I8" s="7" t="s">
        <v>32</v>
      </c>
      <c r="J8" s="6" t="n">
        <f aca="false">Polymarket!B36</f>
        <v>50</v>
      </c>
      <c r="K8" s="8" t="n">
        <f aca="false">Polymarket!B37</f>
        <v>2.98953662182362</v>
      </c>
      <c r="L8" s="9" t="n">
        <f aca="false">Polymarket!B38</f>
        <v>1.98953662182362</v>
      </c>
      <c r="M8" s="9" t="n">
        <f aca="false">Polymarket!B39</f>
        <v>0.440570861275843</v>
      </c>
      <c r="N8" s="8" t="n">
        <f aca="false">Polymarket!B40</f>
        <v>1.31539611360239</v>
      </c>
      <c r="O8" s="8" t="n">
        <f aca="false">Polymarket!C40</f>
        <v>6.45739910313901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30</v>
      </c>
      <c r="G9" s="6" t="n">
        <f aca="false">Kalshi!B11</f>
        <v>40</v>
      </c>
      <c r="H9" s="6" t="n">
        <f aca="false">Kalshi!B12</f>
        <v>35</v>
      </c>
      <c r="I9" s="7" t="s">
        <v>36</v>
      </c>
      <c r="J9" s="6" t="n">
        <f aca="false">Kalshi!B36</f>
        <v>125</v>
      </c>
      <c r="K9" s="8" t="n">
        <f aca="false">Kalshi!B37</f>
        <v>3.57142857142857</v>
      </c>
      <c r="L9" s="9" t="n">
        <f aca="false">Kalshi!B38</f>
        <v>2.57142857142857</v>
      </c>
      <c r="M9" s="9" t="n">
        <f aca="false">Kalshi!B39</f>
        <v>0.663936649275048</v>
      </c>
      <c r="N9" s="8" t="n">
        <f aca="false">Kalshi!B40</f>
        <v>1.14285714285714</v>
      </c>
      <c r="O9" s="8" t="n">
        <f aca="false">Kalshi!C40</f>
        <v>6.4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3.78</v>
      </c>
      <c r="G10" s="6" t="n">
        <f aca="false">'Positron AI'!B11</f>
        <v>4.025</v>
      </c>
      <c r="H10" s="6" t="n">
        <f aca="false">'Positron AI'!B12</f>
        <v>3.9025</v>
      </c>
      <c r="I10" s="7" t="s">
        <v>40</v>
      </c>
      <c r="J10" s="6" t="n">
        <f aca="false">'Positron AI'!B36</f>
        <v>20</v>
      </c>
      <c r="K10" s="8" t="n">
        <f aca="false">'Positron AI'!B37</f>
        <v>5.1249199231262</v>
      </c>
      <c r="L10" s="9" t="n">
        <f aca="false">'Positron AI'!B38</f>
        <v>4.1249199231262</v>
      </c>
      <c r="M10" s="9" t="n">
        <f aca="false">'Positron AI'!B39</f>
        <v>0.724099640552506</v>
      </c>
      <c r="N10" s="8" t="n">
        <f aca="false">'Positron AI'!B40</f>
        <v>1.28122998078155</v>
      </c>
      <c r="O10" s="8" t="n">
        <f aca="false">'Positron AI'!C40</f>
        <v>10.2498398462524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205.2</v>
      </c>
      <c r="G11" s="6" t="n">
        <f aca="false">Databricks!B11</f>
        <v>218.5</v>
      </c>
      <c r="H11" s="6" t="n">
        <f aca="false">Databricks!B12</f>
        <v>211.85</v>
      </c>
      <c r="I11" s="7" t="s">
        <v>44</v>
      </c>
      <c r="J11" s="6" t="n">
        <f aca="false">Databricks!B36</f>
        <v>440</v>
      </c>
      <c r="K11" s="8" t="n">
        <f aca="false">Databricks!B37</f>
        <v>2.07694123200378</v>
      </c>
      <c r="L11" s="9" t="n">
        <f aca="false">Databricks!B38</f>
        <v>1.07694123200378</v>
      </c>
      <c r="M11" s="9" t="n">
        <f aca="false">Databricks!B39</f>
        <v>0.441159683034388</v>
      </c>
      <c r="N11" s="8" t="n">
        <f aca="false">Databricks!B40</f>
        <v>0.896860986547085</v>
      </c>
      <c r="O11" s="8" t="n">
        <f aca="false">Databricks!C40</f>
        <v>2.95020061364173</v>
      </c>
    </row>
    <row r="13" customFormat="false" ht="15" hidden="false" customHeight="false" outlineLevel="0" collapsed="false">
      <c r="A13" s="2" t="s">
        <v>45</v>
      </c>
    </row>
    <row r="14" customFormat="false" ht="15" hidden="false" customHeight="false" outlineLevel="0" collapsed="false">
      <c r="A14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47</v>
      </c>
    </row>
    <row r="3" customFormat="false" ht="45.75" hidden="false" customHeight="true" outlineLevel="0" collapsed="false">
      <c r="A3" s="10" t="s">
        <v>5</v>
      </c>
      <c r="B3" s="11" t="s">
        <v>48</v>
      </c>
    </row>
    <row r="4" customFormat="false" ht="45.75" hidden="false" customHeight="true" outlineLevel="0" collapsed="false">
      <c r="A4" s="10" t="s">
        <v>49</v>
      </c>
      <c r="B4" s="11" t="s">
        <v>50</v>
      </c>
    </row>
    <row r="5" customFormat="false" ht="45.75" hidden="false" customHeight="true" outlineLevel="0" collapsed="false">
      <c r="A5" s="10" t="s">
        <v>51</v>
      </c>
      <c r="B5" s="11" t="s">
        <v>52</v>
      </c>
    </row>
    <row r="6" customFormat="false" ht="45.75" hidden="false" customHeight="true" outlineLevel="0" collapsed="false">
      <c r="A6" s="10" t="s">
        <v>53</v>
      </c>
      <c r="B6" s="11" t="s">
        <v>54</v>
      </c>
    </row>
    <row r="7" customFormat="false" ht="45.75" hidden="false" customHeight="true" outlineLevel="0" collapsed="false">
      <c r="A7" s="10" t="s">
        <v>55</v>
      </c>
      <c r="B7" s="11" t="s">
        <v>56</v>
      </c>
    </row>
    <row r="8" customFormat="false" ht="45.75" hidden="false" customHeight="true" outlineLevel="0" collapsed="false">
      <c r="A8" s="10" t="s">
        <v>57</v>
      </c>
      <c r="B8" s="11" t="s">
        <v>58</v>
      </c>
    </row>
    <row r="9" customFormat="false" ht="45.75" hidden="false" customHeight="true" outlineLevel="0" collapsed="false">
      <c r="A9" s="10" t="s">
        <v>59</v>
      </c>
      <c r="B9" s="11" t="s">
        <v>60</v>
      </c>
    </row>
    <row r="10" customFormat="false" ht="45.75" hidden="false" customHeight="true" outlineLevel="0" collapsed="false">
      <c r="A10" s="10" t="s">
        <v>61</v>
      </c>
      <c r="B10" s="11" t="s">
        <v>62</v>
      </c>
    </row>
    <row r="11" customFormat="false" ht="45.75" hidden="false" customHeight="true" outlineLevel="0" collapsed="false">
      <c r="A11" s="10" t="s">
        <v>63</v>
      </c>
      <c r="B11" s="11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19</v>
      </c>
    </row>
    <row r="6" customFormat="false" ht="15" hidden="false" customHeight="false" outlineLevel="0" collapsed="false">
      <c r="A6" s="14" t="s">
        <v>67</v>
      </c>
      <c r="B6" s="15" t="n">
        <v>852</v>
      </c>
    </row>
    <row r="7" customFormat="false" ht="15" hidden="false" customHeight="false" outlineLevel="0" collapsed="false">
      <c r="A7" s="14" t="s">
        <v>68</v>
      </c>
      <c r="B7" s="15" t="n">
        <v>852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74</v>
      </c>
      <c r="B13" s="18" t="s">
        <v>75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79</v>
      </c>
      <c r="B17" s="21" t="n">
        <v>10.5</v>
      </c>
      <c r="C17" s="22" t="s">
        <v>80</v>
      </c>
    </row>
    <row r="18" customFormat="false" ht="15" hidden="false" customHeight="false" outlineLevel="0" collapsed="false">
      <c r="A18" s="20" t="s">
        <v>81</v>
      </c>
      <c r="B18" s="21" t="n">
        <v>24.7</v>
      </c>
      <c r="C18" s="22" t="s">
        <v>82</v>
      </c>
    </row>
    <row r="19" customFormat="false" ht="15" hidden="false" customHeight="false" outlineLevel="0" collapsed="false">
      <c r="A19" s="20" t="s">
        <v>83</v>
      </c>
      <c r="B19" s="21" t="n">
        <v>9.4</v>
      </c>
      <c r="C19" s="22" t="s">
        <v>82</v>
      </c>
    </row>
    <row r="20" customFormat="false" ht="15" hidden="false" customHeight="false" outlineLevel="0" collapsed="false">
      <c r="A20" s="20" t="s">
        <v>84</v>
      </c>
      <c r="B20" s="21" t="n">
        <v>7</v>
      </c>
      <c r="C20" s="22" t="s">
        <v>82</v>
      </c>
    </row>
    <row r="21" customFormat="false" ht="15" hidden="false" customHeight="false" outlineLevel="0" collapsed="false">
      <c r="A21" s="20" t="s">
        <v>85</v>
      </c>
      <c r="B21" s="21" t="n">
        <v>61</v>
      </c>
      <c r="C21" s="22" t="s">
        <v>86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98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99</v>
      </c>
      <c r="B26" s="23" t="s">
        <v>100</v>
      </c>
      <c r="C26" s="24" t="n">
        <v>2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0.31790692809846</v>
      </c>
    </row>
    <row r="27" customFormat="false" ht="15" hidden="false" customHeight="false" outlineLevel="0" collapsed="false">
      <c r="A27" s="20" t="s">
        <v>101</v>
      </c>
      <c r="B27" s="23" t="s">
        <v>100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102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23.85" hidden="false" customHeight="false" outlineLevel="0" collapsed="false">
      <c r="A32" s="20" t="s">
        <v>97</v>
      </c>
      <c r="B32" s="23" t="s">
        <v>98</v>
      </c>
      <c r="C32" s="24" t="n">
        <v>1.5</v>
      </c>
      <c r="D32" s="5" t="s">
        <v>105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99</v>
      </c>
      <c r="B33" s="23" t="s">
        <v>100</v>
      </c>
      <c r="C33" s="24" t="n">
        <v>2</v>
      </c>
      <c r="D33" s="5" t="s">
        <v>106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0.277346193137179</v>
      </c>
    </row>
    <row r="34" customFormat="false" ht="15" hidden="false" customHeight="false" outlineLevel="0" collapsed="false">
      <c r="A34" s="20" t="s">
        <v>101</v>
      </c>
      <c r="B34" s="23" t="s">
        <v>100</v>
      </c>
      <c r="C34" s="24" t="n">
        <v>2</v>
      </c>
      <c r="D34" s="5" t="s">
        <v>107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0.297785030013053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114</v>
      </c>
    </row>
    <row r="45" customFormat="false" ht="15" hidden="false" customHeight="false" outlineLevel="0" collapsed="false">
      <c r="A45" s="2" t="s">
        <v>115</v>
      </c>
    </row>
    <row r="46" customFormat="false" ht="15" hidden="false" customHeight="false" outlineLevel="0" collapsed="false">
      <c r="A46" s="2" t="s">
        <v>116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23</v>
      </c>
    </row>
    <row r="6" customFormat="false" ht="15" hidden="false" customHeight="false" outlineLevel="0" collapsed="false">
      <c r="A6" s="14" t="s">
        <v>67</v>
      </c>
      <c r="B6" s="15" t="n">
        <v>39</v>
      </c>
    </row>
    <row r="7" customFormat="false" ht="15" hidden="false" customHeight="false" outlineLevel="0" collapsed="false">
      <c r="A7" s="14" t="s">
        <v>68</v>
      </c>
      <c r="B7" s="15" t="n">
        <v>39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42.12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44.85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43.485</v>
      </c>
    </row>
    <row r="13" customFormat="false" ht="42" hidden="false" customHeight="true" outlineLevel="0" collapsed="false">
      <c r="A13" s="14" t="s">
        <v>74</v>
      </c>
      <c r="B13" s="18" t="s">
        <v>118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119</v>
      </c>
      <c r="B17" s="21" t="n">
        <v>15</v>
      </c>
      <c r="C17" s="22" t="s">
        <v>120</v>
      </c>
    </row>
    <row r="18" customFormat="false" ht="15" hidden="false" customHeight="false" outlineLevel="0" collapsed="false">
      <c r="A18" s="20" t="s">
        <v>121</v>
      </c>
      <c r="B18" s="21" t="n">
        <v>15.7</v>
      </c>
      <c r="C18" s="22" t="s">
        <v>122</v>
      </c>
    </row>
    <row r="19" customFormat="false" ht="15" hidden="false" customHeight="false" outlineLevel="0" collapsed="false">
      <c r="A19" s="20" t="s">
        <v>123</v>
      </c>
      <c r="B19" s="21" t="n">
        <v>7.3</v>
      </c>
      <c r="C19" s="22" t="s">
        <v>124</v>
      </c>
    </row>
    <row r="20" customFormat="false" ht="15" hidden="false" customHeight="false" outlineLevel="0" collapsed="false">
      <c r="A20" s="20" t="s">
        <v>125</v>
      </c>
      <c r="B20" s="21" t="n">
        <v>6.3</v>
      </c>
      <c r="C20" s="22" t="s">
        <v>126</v>
      </c>
    </row>
    <row r="21" customFormat="false" ht="15" hidden="false" customHeight="false" outlineLevel="0" collapsed="false">
      <c r="A21" s="20" t="s">
        <v>127</v>
      </c>
      <c r="B21" s="21" t="n">
        <v>2.6</v>
      </c>
      <c r="C21" s="22" t="s">
        <v>128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2.5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1.20731286650569</v>
      </c>
      <c r="H25" s="29" t="n">
        <f aca="false">G25-1</f>
        <v>0.207312866505692</v>
      </c>
      <c r="I25" s="29" t="n">
        <f aca="false">G25^(1/C25)-1</f>
        <v>0.0782710162424243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3</v>
      </c>
      <c r="D26" s="25" t="n">
        <v>7</v>
      </c>
      <c r="E26" s="26" t="n">
        <v>15</v>
      </c>
      <c r="F26" s="27" t="n">
        <f aca="false">D26*E26</f>
        <v>105</v>
      </c>
      <c r="G26" s="28" t="n">
        <f aca="false">F26/B12</f>
        <v>2.41462573301138</v>
      </c>
      <c r="H26" s="29" t="n">
        <f aca="false">G26-1</f>
        <v>1.41462573301138</v>
      </c>
      <c r="I26" s="29" t="n">
        <f aca="false">G26^(1/C26)-1</f>
        <v>0.341580101775709</v>
      </c>
    </row>
    <row r="27" customFormat="false" ht="15" hidden="false" customHeight="false" outlineLevel="0" collapsed="false">
      <c r="A27" s="20" t="s">
        <v>101</v>
      </c>
      <c r="B27" s="23" t="s">
        <v>129</v>
      </c>
      <c r="C27" s="24" t="n">
        <v>3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4.9672300793377</v>
      </c>
      <c r="H27" s="29" t="n">
        <f aca="false">G27-1</f>
        <v>3.9672300793377</v>
      </c>
      <c r="I27" s="29" t="n">
        <f aca="false">G27^(1/C27)-1</f>
        <v>0.70623203714332</v>
      </c>
    </row>
    <row r="28" customFormat="false" ht="30" hidden="false" customHeight="true" outlineLevel="0" collapsed="false">
      <c r="A28" s="18" t="s">
        <v>130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2.5</v>
      </c>
      <c r="D32" s="5" t="s">
        <v>131</v>
      </c>
      <c r="E32" s="25" t="n">
        <v>39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-0.0426074293387877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3</v>
      </c>
      <c r="D33" s="5" t="s">
        <v>132</v>
      </c>
      <c r="E33" s="25" t="n">
        <v>95</v>
      </c>
      <c r="F33" s="28" t="n">
        <f aca="false">E33/B12</f>
        <v>2.18466137748649</v>
      </c>
      <c r="G33" s="29" t="n">
        <f aca="false">F33-1</f>
        <v>1.18466137748649</v>
      </c>
      <c r="H33" s="29" t="n">
        <f aca="false">F33^(1/C33)-1</f>
        <v>0.297561776477154</v>
      </c>
    </row>
    <row r="34" customFormat="false" ht="15" hidden="false" customHeight="false" outlineLevel="0" collapsed="false">
      <c r="A34" s="20" t="s">
        <v>101</v>
      </c>
      <c r="B34" s="23" t="s">
        <v>129</v>
      </c>
      <c r="C34" s="24" t="n">
        <v>3</v>
      </c>
      <c r="D34" s="5" t="s">
        <v>133</v>
      </c>
      <c r="E34" s="25" t="n">
        <v>180</v>
      </c>
      <c r="F34" s="28" t="n">
        <f aca="false">E34/B12</f>
        <v>4.13935839944809</v>
      </c>
      <c r="G34" s="29" t="n">
        <f aca="false">F34-1</f>
        <v>3.13935839944809</v>
      </c>
      <c r="H34" s="29" t="n">
        <f aca="false">F34^(1/C34)-1</f>
        <v>0.605625820582937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100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2.29964355524894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1.29964355524894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0.319937928526136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0.896860986547085</v>
      </c>
      <c r="C40" s="30" t="n">
        <f aca="false">MAX(G27,F34)</f>
        <v>4.9672300793377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2.22965440356745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134</v>
      </c>
    </row>
    <row r="45" customFormat="false" ht="15" hidden="false" customHeight="false" outlineLevel="0" collapsed="false">
      <c r="A45" s="2" t="s">
        <v>135</v>
      </c>
    </row>
    <row r="46" customFormat="false" ht="15" hidden="false" customHeight="false" outlineLevel="0" collapsed="false">
      <c r="A46" s="2" t="s">
        <v>136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27</v>
      </c>
    </row>
    <row r="6" customFormat="false" ht="15" hidden="false" customHeight="false" outlineLevel="0" collapsed="false">
      <c r="A6" s="14" t="s">
        <v>67</v>
      </c>
      <c r="B6" s="15" t="n">
        <v>10</v>
      </c>
    </row>
    <row r="7" customFormat="false" ht="15" hidden="false" customHeight="false" outlineLevel="0" collapsed="false">
      <c r="A7" s="14" t="s">
        <v>68</v>
      </c>
      <c r="B7" s="15" t="n">
        <v>10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10.8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11.5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11.15</v>
      </c>
    </row>
    <row r="13" customFormat="false" ht="42" hidden="false" customHeight="true" outlineLevel="0" collapsed="false">
      <c r="A13" s="14" t="s">
        <v>74</v>
      </c>
      <c r="B13" s="18" t="s">
        <v>137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119</v>
      </c>
      <c r="B17" s="21" t="n">
        <v>15</v>
      </c>
      <c r="C17" s="22" t="s">
        <v>120</v>
      </c>
    </row>
    <row r="18" customFormat="false" ht="15" hidden="false" customHeight="false" outlineLevel="0" collapsed="false">
      <c r="A18" s="20" t="s">
        <v>121</v>
      </c>
      <c r="B18" s="21" t="n">
        <v>15.7</v>
      </c>
      <c r="C18" s="22" t="s">
        <v>122</v>
      </c>
    </row>
    <row r="19" customFormat="false" ht="15" hidden="false" customHeight="false" outlineLevel="0" collapsed="false">
      <c r="A19" s="20" t="s">
        <v>138</v>
      </c>
      <c r="B19" s="21" t="n">
        <v>1</v>
      </c>
      <c r="C19" s="22" t="s">
        <v>139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140</v>
      </c>
      <c r="C25" s="24" t="n">
        <v>4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2.152466367713</v>
      </c>
      <c r="H25" s="29" t="n">
        <f aca="false">G25-1</f>
        <v>1.152466367713</v>
      </c>
      <c r="I25" s="29" t="n">
        <f aca="false">G25^(1/C25)-1</f>
        <v>0.21125084652792</v>
      </c>
    </row>
    <row r="26" customFormat="false" ht="15" hidden="false" customHeight="false" outlineLevel="0" collapsed="false">
      <c r="A26" s="20" t="s">
        <v>99</v>
      </c>
      <c r="B26" s="23" t="s">
        <v>140</v>
      </c>
      <c r="C26" s="24" t="n">
        <v>4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5.38116591928251</v>
      </c>
      <c r="H26" s="29" t="n">
        <f aca="false">G26-1</f>
        <v>4.38116591928251</v>
      </c>
      <c r="I26" s="29" t="n">
        <f aca="false">G26^(1/C26)-1</f>
        <v>0.523067306155961</v>
      </c>
    </row>
    <row r="27" customFormat="false" ht="15" hidden="false" customHeight="false" outlineLevel="0" collapsed="false">
      <c r="A27" s="20" t="s">
        <v>101</v>
      </c>
      <c r="B27" s="23" t="s">
        <v>141</v>
      </c>
      <c r="C27" s="24" t="n">
        <v>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12.1076233183857</v>
      </c>
      <c r="H27" s="29" t="n">
        <f aca="false">G27-1</f>
        <v>11.1076233183857</v>
      </c>
      <c r="I27" s="29" t="n">
        <f aca="false">G27^(1/C27)-1</f>
        <v>0.646689742514757</v>
      </c>
    </row>
    <row r="28" customFormat="false" ht="30" hidden="false" customHeight="true" outlineLevel="0" collapsed="false">
      <c r="A28" s="18" t="s">
        <v>142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140</v>
      </c>
      <c r="C32" s="24" t="n">
        <v>4</v>
      </c>
      <c r="D32" s="5" t="s">
        <v>143</v>
      </c>
      <c r="E32" s="25" t="n">
        <v>10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-0.0268466474287021</v>
      </c>
    </row>
    <row r="33" customFormat="false" ht="23.85" hidden="false" customHeight="false" outlineLevel="0" collapsed="false">
      <c r="A33" s="20" t="s">
        <v>99</v>
      </c>
      <c r="B33" s="23" t="s">
        <v>140</v>
      </c>
      <c r="C33" s="24" t="n">
        <v>4</v>
      </c>
      <c r="D33" s="5" t="s">
        <v>144</v>
      </c>
      <c r="E33" s="25" t="n">
        <v>60</v>
      </c>
      <c r="F33" s="28" t="n">
        <f aca="false">E33/B12</f>
        <v>5.38116591928251</v>
      </c>
      <c r="G33" s="29" t="n">
        <f aca="false">F33-1</f>
        <v>4.38116591928251</v>
      </c>
      <c r="H33" s="29" t="n">
        <f aca="false">F33^(1/C33)-1</f>
        <v>0.523067306155961</v>
      </c>
    </row>
    <row r="34" customFormat="false" ht="15" hidden="false" customHeight="false" outlineLevel="0" collapsed="false">
      <c r="A34" s="20" t="s">
        <v>101</v>
      </c>
      <c r="B34" s="23" t="s">
        <v>141</v>
      </c>
      <c r="C34" s="24" t="n">
        <v>5</v>
      </c>
      <c r="D34" s="5" t="s">
        <v>145</v>
      </c>
      <c r="E34" s="25" t="n">
        <v>110</v>
      </c>
      <c r="F34" s="28" t="n">
        <f aca="false">E34/B12</f>
        <v>9.86547085201794</v>
      </c>
      <c r="G34" s="29" t="n">
        <f aca="false">F34-1</f>
        <v>8.86547085201794</v>
      </c>
      <c r="H34" s="29" t="n">
        <f aca="false">F34^(1/C34)-1</f>
        <v>0.580605772027474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60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5.38116591928251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4.38116591928251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0.523067306155961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0.896860986547085</v>
      </c>
      <c r="C40" s="30" t="n">
        <f aca="false">MAX(G27,F34)</f>
        <v>12.1076233183857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5.21739130434783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146</v>
      </c>
    </row>
    <row r="45" customFormat="false" ht="15" hidden="false" customHeight="false" outlineLevel="0" collapsed="false">
      <c r="A45" s="2" t="s">
        <v>147</v>
      </c>
    </row>
    <row r="46" customFormat="false" ht="15" hidden="false" customHeight="false" outlineLevel="0" collapsed="false">
      <c r="A46" s="2" t="s">
        <v>148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31</v>
      </c>
    </row>
    <row r="6" customFormat="false" ht="15" hidden="false" customHeight="false" outlineLevel="0" collapsed="false">
      <c r="A6" s="14" t="s">
        <v>67</v>
      </c>
      <c r="B6" s="15" t="n">
        <v>15</v>
      </c>
    </row>
    <row r="7" customFormat="false" ht="15" hidden="false" customHeight="false" outlineLevel="0" collapsed="false">
      <c r="A7" s="14" t="s">
        <v>68</v>
      </c>
      <c r="B7" s="15" t="n">
        <v>15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16.2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17.25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16.725</v>
      </c>
    </row>
    <row r="13" customFormat="false" ht="42" hidden="false" customHeight="true" outlineLevel="0" collapsed="false">
      <c r="A13" s="14" t="s">
        <v>74</v>
      </c>
      <c r="B13" s="18" t="s">
        <v>149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150</v>
      </c>
      <c r="B17" s="21" t="n">
        <v>20.7</v>
      </c>
      <c r="C17" s="22" t="s">
        <v>151</v>
      </c>
    </row>
    <row r="18" customFormat="false" ht="15" hidden="false" customHeight="false" outlineLevel="0" collapsed="false">
      <c r="A18" s="20" t="s">
        <v>152</v>
      </c>
      <c r="B18" s="21" t="n">
        <v>17</v>
      </c>
      <c r="C18" s="22" t="s">
        <v>153</v>
      </c>
    </row>
    <row r="19" customFormat="false" ht="15" hidden="false" customHeight="false" outlineLevel="0" collapsed="false">
      <c r="A19" s="20" t="s">
        <v>154</v>
      </c>
      <c r="B19" s="21" t="n">
        <v>9</v>
      </c>
      <c r="C19" s="22" t="s">
        <v>155</v>
      </c>
    </row>
    <row r="20" customFormat="false" ht="15" hidden="false" customHeight="false" outlineLevel="0" collapsed="false">
      <c r="A20" s="20" t="s">
        <v>156</v>
      </c>
      <c r="B20" s="21" t="n">
        <v>5.9</v>
      </c>
      <c r="C20" s="22" t="s">
        <v>157</v>
      </c>
    </row>
    <row r="21" customFormat="false" ht="15" hidden="false" customHeight="false" outlineLevel="0" collapsed="false">
      <c r="A21" s="20" t="s">
        <v>158</v>
      </c>
      <c r="B21" s="21" t="n">
        <v>2.1</v>
      </c>
      <c r="C21" s="22" t="s">
        <v>159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2.5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2.24215246636771</v>
      </c>
      <c r="H25" s="29" t="n">
        <f aca="false">G25-1</f>
        <v>1.24215246636771</v>
      </c>
      <c r="I25" s="29" t="n">
        <f aca="false">G25^(1/C25)-1</f>
        <v>0.381230171609196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3</v>
      </c>
      <c r="D26" s="25" t="n">
        <v>3.5</v>
      </c>
      <c r="E26" s="26" t="n">
        <v>15</v>
      </c>
      <c r="F26" s="27" t="n">
        <f aca="false">D26*E26</f>
        <v>52.5</v>
      </c>
      <c r="G26" s="28" t="n">
        <f aca="false">F26/B12</f>
        <v>3.1390134529148</v>
      </c>
      <c r="H26" s="29" t="n">
        <f aca="false">G26-1</f>
        <v>2.1390134529148</v>
      </c>
      <c r="I26" s="29" t="n">
        <f aca="false">G26^(1/C26)-1</f>
        <v>0.464190975134403</v>
      </c>
    </row>
    <row r="27" customFormat="false" ht="15" hidden="false" customHeight="false" outlineLevel="0" collapsed="false">
      <c r="A27" s="20" t="s">
        <v>101</v>
      </c>
      <c r="B27" s="23" t="s">
        <v>140</v>
      </c>
      <c r="C27" s="24" t="n">
        <v>4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6.45739910313901</v>
      </c>
      <c r="H27" s="29" t="n">
        <f aca="false">G27-1</f>
        <v>5.45739910313901</v>
      </c>
      <c r="I27" s="29" t="n">
        <f aca="false">G27^(1/C27)-1</f>
        <v>0.594095762282103</v>
      </c>
    </row>
    <row r="28" customFormat="false" ht="30" hidden="false" customHeight="true" outlineLevel="0" collapsed="false">
      <c r="A28" s="18" t="s">
        <v>160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2.5</v>
      </c>
      <c r="D32" s="5" t="s">
        <v>161</v>
      </c>
      <c r="E32" s="25" t="n">
        <v>22</v>
      </c>
      <c r="F32" s="28" t="n">
        <f aca="false">E32/B12</f>
        <v>1.31539611360239</v>
      </c>
      <c r="G32" s="29" t="n">
        <f aca="false">F32-1</f>
        <v>0.315396113602392</v>
      </c>
      <c r="H32" s="29" t="n">
        <f aca="false">F32^(1/C32)-1</f>
        <v>0.115893175988942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3</v>
      </c>
      <c r="D33" s="5" t="s">
        <v>162</v>
      </c>
      <c r="E33" s="25" t="n">
        <v>47.5</v>
      </c>
      <c r="F33" s="28" t="n">
        <f aca="false">E33/B12</f>
        <v>2.84005979073244</v>
      </c>
      <c r="G33" s="29" t="n">
        <f aca="false">F33-1</f>
        <v>1.84005979073244</v>
      </c>
      <c r="H33" s="29" t="n">
        <f aca="false">F33^(1/C33)-1</f>
        <v>0.416149688179292</v>
      </c>
    </row>
    <row r="34" customFormat="false" ht="23.85" hidden="false" customHeight="false" outlineLevel="0" collapsed="false">
      <c r="A34" s="20" t="s">
        <v>101</v>
      </c>
      <c r="B34" s="23" t="s">
        <v>140</v>
      </c>
      <c r="C34" s="24" t="n">
        <v>4</v>
      </c>
      <c r="D34" s="5" t="s">
        <v>163</v>
      </c>
      <c r="E34" s="25" t="n">
        <v>100</v>
      </c>
      <c r="F34" s="28" t="n">
        <f aca="false">E34/B12</f>
        <v>5.97907324364723</v>
      </c>
      <c r="G34" s="29" t="n">
        <f aca="false">F34-1</f>
        <v>4.97907324364723</v>
      </c>
      <c r="H34" s="29" t="n">
        <f aca="false">F34^(1/C34)-1</f>
        <v>0.56371811889409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50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2.98953662182362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1.98953662182362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0.440570861275843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1.31539611360239</v>
      </c>
      <c r="C40" s="30" t="n">
        <f aca="false">MAX(G27,F34)</f>
        <v>6.45739910313901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2.89855072463768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164</v>
      </c>
    </row>
    <row r="45" customFormat="false" ht="15" hidden="false" customHeight="false" outlineLevel="0" collapsed="false">
      <c r="A45" s="2" t="s">
        <v>165</v>
      </c>
    </row>
    <row r="46" customFormat="false" ht="15" hidden="false" customHeight="false" outlineLevel="0" collapsed="false">
      <c r="A46" s="2" t="s">
        <v>166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35</v>
      </c>
    </row>
    <row r="6" customFormat="false" ht="15" hidden="false" customHeight="false" outlineLevel="0" collapsed="false">
      <c r="A6" s="14" t="s">
        <v>67</v>
      </c>
      <c r="B6" s="15" t="n">
        <v>22</v>
      </c>
    </row>
    <row r="7" customFormat="false" ht="15" hidden="false" customHeight="false" outlineLevel="0" collapsed="false">
      <c r="A7" s="14" t="s">
        <v>68</v>
      </c>
      <c r="B7" s="15" t="n">
        <v>22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5" t="n">
        <v>30</v>
      </c>
    </row>
    <row r="11" customFormat="false" ht="15" hidden="false" customHeight="false" outlineLevel="0" collapsed="false">
      <c r="A11" s="14" t="s">
        <v>72</v>
      </c>
      <c r="B11" s="15" t="n">
        <v>40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35</v>
      </c>
    </row>
    <row r="13" customFormat="false" ht="42" hidden="false" customHeight="true" outlineLevel="0" collapsed="false">
      <c r="A13" s="14" t="s">
        <v>74</v>
      </c>
      <c r="B13" s="18" t="s">
        <v>167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150</v>
      </c>
      <c r="B17" s="21" t="n">
        <v>20</v>
      </c>
      <c r="C17" s="22" t="s">
        <v>151</v>
      </c>
    </row>
    <row r="18" customFormat="false" ht="15" hidden="false" customHeight="false" outlineLevel="0" collapsed="false">
      <c r="A18" s="20" t="s">
        <v>152</v>
      </c>
      <c r="B18" s="21" t="n">
        <v>13</v>
      </c>
      <c r="C18" s="22" t="s">
        <v>153</v>
      </c>
    </row>
    <row r="19" customFormat="false" ht="15" hidden="false" customHeight="false" outlineLevel="0" collapsed="false">
      <c r="A19" s="20" t="s">
        <v>156</v>
      </c>
      <c r="B19" s="21" t="n">
        <v>7</v>
      </c>
      <c r="C19" s="22" t="s">
        <v>168</v>
      </c>
    </row>
    <row r="20" customFormat="false" ht="15" hidden="false" customHeight="false" outlineLevel="0" collapsed="false">
      <c r="A20" s="20" t="s">
        <v>158</v>
      </c>
      <c r="B20" s="21" t="n">
        <v>2</v>
      </c>
      <c r="C20" s="22" t="s">
        <v>159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</v>
      </c>
      <c r="D25" s="25" t="n">
        <v>5</v>
      </c>
      <c r="E25" s="26" t="n">
        <v>12</v>
      </c>
      <c r="F25" s="27" t="n">
        <f aca="false">D25*E25</f>
        <v>60</v>
      </c>
      <c r="G25" s="28" t="n">
        <f aca="false">F25/B12</f>
        <v>1.71428571428571</v>
      </c>
      <c r="H25" s="29" t="n">
        <f aca="false">G25-1</f>
        <v>0.714285714285714</v>
      </c>
      <c r="I25" s="29" t="n">
        <f aca="false">G25^(1/C25)-1</f>
        <v>0.309307341415954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2.5</v>
      </c>
      <c r="D26" s="25" t="n">
        <v>8</v>
      </c>
      <c r="E26" s="26" t="n">
        <v>15</v>
      </c>
      <c r="F26" s="27" t="n">
        <f aca="false">D26*E26</f>
        <v>120</v>
      </c>
      <c r="G26" s="28" t="n">
        <f aca="false">F26/B12</f>
        <v>3.42857142857143</v>
      </c>
      <c r="H26" s="29" t="n">
        <f aca="false">G26-1</f>
        <v>2.42857142857143</v>
      </c>
      <c r="I26" s="29" t="n">
        <f aca="false">G26^(1/C26)-1</f>
        <v>0.636987189097755</v>
      </c>
    </row>
    <row r="27" customFormat="false" ht="15" hidden="false" customHeight="false" outlineLevel="0" collapsed="false">
      <c r="A27" s="20" t="s">
        <v>101</v>
      </c>
      <c r="B27" s="23" t="s">
        <v>140</v>
      </c>
      <c r="C27" s="24" t="n">
        <v>3.5</v>
      </c>
      <c r="D27" s="25" t="n">
        <v>14</v>
      </c>
      <c r="E27" s="26" t="n">
        <v>16</v>
      </c>
      <c r="F27" s="27" t="n">
        <f aca="false">D27*E27</f>
        <v>224</v>
      </c>
      <c r="G27" s="28" t="n">
        <f aca="false">F27/B12</f>
        <v>6.4</v>
      </c>
      <c r="H27" s="29" t="n">
        <f aca="false">G27-1</f>
        <v>5.4</v>
      </c>
      <c r="I27" s="29" t="n">
        <f aca="false">G27^(1/C27)-1</f>
        <v>0.699562481967873</v>
      </c>
    </row>
    <row r="28" customFormat="false" ht="30" hidden="false" customHeight="true" outlineLevel="0" collapsed="false">
      <c r="A28" s="18" t="s">
        <v>169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</v>
      </c>
      <c r="D32" s="5" t="s">
        <v>170</v>
      </c>
      <c r="E32" s="25" t="n">
        <v>40</v>
      </c>
      <c r="F32" s="28" t="n">
        <f aca="false">E32/B12</f>
        <v>1.14285714285714</v>
      </c>
      <c r="G32" s="29" t="n">
        <f aca="false">F32-1</f>
        <v>0.142857142857143</v>
      </c>
      <c r="H32" s="29" t="n">
        <f aca="false">F32^(1/C32)-1</f>
        <v>0.0690449676496976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2.5</v>
      </c>
      <c r="D33" s="5" t="s">
        <v>171</v>
      </c>
      <c r="E33" s="25" t="n">
        <v>130</v>
      </c>
      <c r="F33" s="28" t="n">
        <f aca="false">E33/B12</f>
        <v>3.71428571428571</v>
      </c>
      <c r="G33" s="29" t="n">
        <f aca="false">F33-1</f>
        <v>2.71428571428571</v>
      </c>
      <c r="H33" s="29" t="n">
        <f aca="false">F33^(1/C33)-1</f>
        <v>0.690246803060484</v>
      </c>
    </row>
    <row r="34" customFormat="false" ht="15" hidden="false" customHeight="false" outlineLevel="0" collapsed="false">
      <c r="A34" s="20" t="s">
        <v>101</v>
      </c>
      <c r="B34" s="23" t="s">
        <v>140</v>
      </c>
      <c r="C34" s="24" t="n">
        <v>3.5</v>
      </c>
      <c r="D34" s="5" t="s">
        <v>172</v>
      </c>
      <c r="E34" s="25" t="n">
        <v>200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125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3.57142857142857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2.57142857142857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0.663936649275048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1.14285714285714</v>
      </c>
      <c r="C40" s="30" t="n">
        <f aca="false">MAX(G27,F34)</f>
        <v>6.4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3.125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173</v>
      </c>
    </row>
    <row r="45" customFormat="false" ht="15" hidden="false" customHeight="false" outlineLevel="0" collapsed="false">
      <c r="A45" s="2" t="s">
        <v>174</v>
      </c>
    </row>
    <row r="46" customFormat="false" ht="15" hidden="false" customHeight="false" outlineLevel="0" collapsed="false">
      <c r="A46" s="2" t="s">
        <v>175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39</v>
      </c>
    </row>
    <row r="6" customFormat="false" ht="15" hidden="false" customHeight="false" outlineLevel="0" collapsed="false">
      <c r="A6" s="14" t="s">
        <v>67</v>
      </c>
      <c r="B6" s="15" t="n">
        <v>1</v>
      </c>
    </row>
    <row r="7" customFormat="false" ht="15" hidden="false" customHeight="false" outlineLevel="0" collapsed="false">
      <c r="A7" s="14" t="s">
        <v>176</v>
      </c>
      <c r="B7" s="15" t="n">
        <v>3.5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3.78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4.025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3.9025</v>
      </c>
    </row>
    <row r="13" customFormat="false" ht="42" hidden="false" customHeight="true" outlineLevel="0" collapsed="false">
      <c r="A13" s="14" t="s">
        <v>74</v>
      </c>
      <c r="B13" s="18" t="s">
        <v>177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81</v>
      </c>
      <c r="B17" s="21" t="n">
        <v>20.6</v>
      </c>
      <c r="C17" s="22" t="s">
        <v>151</v>
      </c>
    </row>
    <row r="18" customFormat="false" ht="15" hidden="false" customHeight="false" outlineLevel="0" collapsed="false">
      <c r="A18" s="20" t="s">
        <v>178</v>
      </c>
      <c r="B18" s="21" t="n">
        <v>24.5</v>
      </c>
      <c r="C18" s="22" t="s">
        <v>151</v>
      </c>
    </row>
    <row r="19" customFormat="false" ht="15" hidden="false" customHeight="false" outlineLevel="0" collapsed="false">
      <c r="A19" s="20" t="s">
        <v>179</v>
      </c>
      <c r="B19" s="21" t="n">
        <v>18</v>
      </c>
      <c r="C19" s="22" t="s">
        <v>151</v>
      </c>
    </row>
    <row r="20" customFormat="false" ht="15" hidden="false" customHeight="false" outlineLevel="0" collapsed="false">
      <c r="A20" s="20" t="s">
        <v>180</v>
      </c>
      <c r="B20" s="21" t="n">
        <v>16.9</v>
      </c>
      <c r="C20" s="22" t="s">
        <v>151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129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2.30621396540679</v>
      </c>
      <c r="H25" s="29" t="n">
        <f aca="false">G25-1</f>
        <v>1.30621396540679</v>
      </c>
      <c r="I25" s="29" t="n">
        <f aca="false">G25^(1/C25)-1</f>
        <v>0.32119381694172</v>
      </c>
    </row>
    <row r="26" customFormat="false" ht="15" hidden="false" customHeight="false" outlineLevel="0" collapsed="false">
      <c r="A26" s="20" t="s">
        <v>99</v>
      </c>
      <c r="B26" s="23" t="s">
        <v>129</v>
      </c>
      <c r="C26" s="24" t="n">
        <v>3</v>
      </c>
      <c r="D26" s="25" t="n">
        <v>1.2</v>
      </c>
      <c r="E26" s="26" t="n">
        <v>16</v>
      </c>
      <c r="F26" s="27" t="n">
        <f aca="false">D26*E26</f>
        <v>19.2</v>
      </c>
      <c r="G26" s="28" t="n">
        <f aca="false">F26/B12</f>
        <v>4.91992312620115</v>
      </c>
      <c r="H26" s="29" t="n">
        <f aca="false">G26-1</f>
        <v>3.91992312620115</v>
      </c>
      <c r="I26" s="29" t="n">
        <f aca="false">G26^(1/C26)-1</f>
        <v>0.700798140351766</v>
      </c>
    </row>
    <row r="27" customFormat="false" ht="15" hidden="false" customHeight="false" outlineLevel="0" collapsed="false">
      <c r="A27" s="20" t="s">
        <v>101</v>
      </c>
      <c r="B27" s="23" t="s">
        <v>140</v>
      </c>
      <c r="C27" s="24" t="n">
        <v>4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9.22485586162716</v>
      </c>
      <c r="H27" s="29" t="n">
        <f aca="false">G27-1</f>
        <v>8.22485586162716</v>
      </c>
      <c r="I27" s="29" t="n">
        <f aca="false">G27^(1/C27)-1</f>
        <v>0.742769285165229</v>
      </c>
    </row>
    <row r="28" customFormat="false" ht="30" hidden="false" customHeight="true" outlineLevel="0" collapsed="false">
      <c r="A28" s="18" t="s">
        <v>181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129</v>
      </c>
      <c r="C32" s="24" t="n">
        <v>3</v>
      </c>
      <c r="D32" s="5" t="s">
        <v>182</v>
      </c>
      <c r="E32" s="25" t="n">
        <v>5</v>
      </c>
      <c r="F32" s="28" t="n">
        <f aca="false">E32/B12</f>
        <v>1.28122998078155</v>
      </c>
      <c r="G32" s="29" t="n">
        <f aca="false">F32-1</f>
        <v>0.28122998078155</v>
      </c>
      <c r="H32" s="29" t="n">
        <f aca="false">F32^(1/C32)-1</f>
        <v>0.0861147146241434</v>
      </c>
    </row>
    <row r="33" customFormat="false" ht="23.85" hidden="false" customHeight="false" outlineLevel="0" collapsed="false">
      <c r="A33" s="20" t="s">
        <v>99</v>
      </c>
      <c r="B33" s="23" t="s">
        <v>129</v>
      </c>
      <c r="C33" s="24" t="n">
        <v>3</v>
      </c>
      <c r="D33" s="5" t="s">
        <v>183</v>
      </c>
      <c r="E33" s="25" t="n">
        <v>20.8</v>
      </c>
      <c r="F33" s="28" t="n">
        <f aca="false">E33/B12</f>
        <v>5.32991672005125</v>
      </c>
      <c r="G33" s="29" t="n">
        <f aca="false">F33-1</f>
        <v>4.32991672005125</v>
      </c>
      <c r="H33" s="29" t="n">
        <f aca="false">F33^(1/C33)-1</f>
        <v>0.746787763948759</v>
      </c>
    </row>
    <row r="34" customFormat="false" ht="15" hidden="false" customHeight="false" outlineLevel="0" collapsed="false">
      <c r="A34" s="20" t="s">
        <v>101</v>
      </c>
      <c r="B34" s="23" t="s">
        <v>140</v>
      </c>
      <c r="C34" s="24" t="n">
        <v>4</v>
      </c>
      <c r="D34" s="5" t="s">
        <v>184</v>
      </c>
      <c r="E34" s="25" t="n">
        <v>40</v>
      </c>
      <c r="F34" s="28" t="n">
        <f aca="false">E34/B12</f>
        <v>10.2498398462524</v>
      </c>
      <c r="G34" s="29" t="n">
        <f aca="false">F34-1</f>
        <v>9.2498398462524</v>
      </c>
      <c r="H34" s="29" t="n">
        <f aca="false">F34^(1/C34)-1</f>
        <v>0.789283964832156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20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5.1249199231262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4.1249199231262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0.724099640552506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1.28122998078155</v>
      </c>
      <c r="C40" s="30" t="n">
        <f aca="false">MAX(G27,F34)</f>
        <v>10.2498398462524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4.96894409937888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185</v>
      </c>
    </row>
    <row r="45" customFormat="false" ht="15" hidden="false" customHeight="false" outlineLevel="0" collapsed="false">
      <c r="A45" s="2" t="s">
        <v>186</v>
      </c>
    </row>
    <row r="46" customFormat="false" ht="15" hidden="false" customHeight="false" outlineLevel="0" collapsed="false">
      <c r="A46" s="2" t="s">
        <v>187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65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66</v>
      </c>
      <c r="B5" s="14" t="s">
        <v>43</v>
      </c>
    </row>
    <row r="6" customFormat="false" ht="15" hidden="false" customHeight="false" outlineLevel="0" collapsed="false">
      <c r="A6" s="14" t="s">
        <v>67</v>
      </c>
      <c r="B6" s="15" t="n">
        <v>190</v>
      </c>
    </row>
    <row r="7" customFormat="false" ht="15" hidden="false" customHeight="false" outlineLevel="0" collapsed="false">
      <c r="A7" s="14" t="s">
        <v>68</v>
      </c>
      <c r="B7" s="15" t="n">
        <v>190</v>
      </c>
    </row>
    <row r="8" customFormat="false" ht="15" hidden="false" customHeight="false" outlineLevel="0" collapsed="false">
      <c r="A8" s="14" t="s">
        <v>69</v>
      </c>
      <c r="B8" s="16" t="n">
        <v>0.08</v>
      </c>
    </row>
    <row r="9" customFormat="false" ht="15" hidden="false" customHeight="false" outlineLevel="0" collapsed="false">
      <c r="A9" s="14" t="s">
        <v>70</v>
      </c>
      <c r="B9" s="16" t="n">
        <v>0.15</v>
      </c>
    </row>
    <row r="10" customFormat="false" ht="15" hidden="false" customHeight="false" outlineLevel="0" collapsed="false">
      <c r="A10" s="14" t="s">
        <v>71</v>
      </c>
      <c r="B10" s="17" t="n">
        <f aca="false">B7*(1+B8)</f>
        <v>205.2</v>
      </c>
    </row>
    <row r="11" customFormat="false" ht="15" hidden="false" customHeight="false" outlineLevel="0" collapsed="false">
      <c r="A11" s="14" t="s">
        <v>72</v>
      </c>
      <c r="B11" s="17" t="n">
        <f aca="false">B7*(1+B9)</f>
        <v>218.5</v>
      </c>
    </row>
    <row r="12" customFormat="false" ht="15" hidden="false" customHeight="false" outlineLevel="0" collapsed="false">
      <c r="A12" s="14" t="s">
        <v>73</v>
      </c>
      <c r="B12" s="17" t="n">
        <f aca="false">AVERAGE(B10:B11)</f>
        <v>211.85</v>
      </c>
    </row>
    <row r="13" customFormat="false" ht="42" hidden="false" customHeight="true" outlineLevel="0" collapsed="false">
      <c r="A13" s="14" t="s">
        <v>74</v>
      </c>
      <c r="B13" s="18" t="s">
        <v>188</v>
      </c>
    </row>
    <row r="15" customFormat="false" ht="15" hidden="false" customHeight="false" outlineLevel="0" collapsed="false">
      <c r="A15" s="13" t="s">
        <v>76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77</v>
      </c>
      <c r="C16" s="19" t="s">
        <v>78</v>
      </c>
    </row>
    <row r="17" customFormat="false" ht="15" hidden="false" customHeight="false" outlineLevel="0" collapsed="false">
      <c r="A17" s="20" t="s">
        <v>189</v>
      </c>
      <c r="B17" s="21" t="n">
        <v>21</v>
      </c>
      <c r="C17" s="22" t="s">
        <v>190</v>
      </c>
    </row>
    <row r="18" customFormat="false" ht="15" hidden="false" customHeight="false" outlineLevel="0" collapsed="false">
      <c r="A18" s="20" t="s">
        <v>85</v>
      </c>
      <c r="B18" s="21" t="n">
        <v>61</v>
      </c>
      <c r="C18" s="22" t="s">
        <v>191</v>
      </c>
    </row>
    <row r="19" customFormat="false" ht="15" hidden="false" customHeight="false" outlineLevel="0" collapsed="false">
      <c r="A19" s="20" t="s">
        <v>192</v>
      </c>
      <c r="B19" s="21" t="n">
        <v>10</v>
      </c>
      <c r="C19" s="22" t="s">
        <v>193</v>
      </c>
    </row>
    <row r="20" customFormat="false" ht="15" hidden="false" customHeight="false" outlineLevel="0" collapsed="false">
      <c r="A20" s="20" t="s">
        <v>79</v>
      </c>
      <c r="B20" s="21" t="n">
        <v>10.5</v>
      </c>
      <c r="C20" s="22" t="s">
        <v>194</v>
      </c>
    </row>
    <row r="23" customFormat="false" ht="15" hidden="false" customHeight="false" outlineLevel="0" collapsed="false">
      <c r="A23" s="13" t="s">
        <v>87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88</v>
      </c>
      <c r="B24" s="3" t="s">
        <v>89</v>
      </c>
      <c r="C24" s="3" t="s">
        <v>90</v>
      </c>
      <c r="D24" s="3" t="s">
        <v>91</v>
      </c>
      <c r="E24" s="3" t="s">
        <v>92</v>
      </c>
      <c r="F24" s="3" t="s">
        <v>93</v>
      </c>
      <c r="G24" s="3" t="s">
        <v>94</v>
      </c>
      <c r="H24" s="3" t="s">
        <v>95</v>
      </c>
      <c r="I24" s="3" t="s">
        <v>96</v>
      </c>
    </row>
    <row r="25" customFormat="false" ht="15" hidden="false" customHeight="false" outlineLevel="0" collapsed="false">
      <c r="A25" s="20" t="s">
        <v>97</v>
      </c>
      <c r="B25" s="23" t="s">
        <v>100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1.18952088742034</v>
      </c>
      <c r="H25" s="29" t="n">
        <f aca="false">G25-1</f>
        <v>0.189520887420345</v>
      </c>
      <c r="I25" s="29" t="n">
        <f aca="false">G25^(1/C25)-1</f>
        <v>0.0906515884645951</v>
      </c>
    </row>
    <row r="26" customFormat="false" ht="15" hidden="false" customHeight="false" outlineLevel="0" collapsed="false">
      <c r="A26" s="20" t="s">
        <v>99</v>
      </c>
      <c r="B26" s="23" t="s">
        <v>100</v>
      </c>
      <c r="C26" s="24" t="n">
        <v>2</v>
      </c>
      <c r="D26" s="25" t="n">
        <v>16</v>
      </c>
      <c r="E26" s="26" t="n">
        <v>27.5</v>
      </c>
      <c r="F26" s="27" t="n">
        <f aca="false">D26*E26</f>
        <v>440</v>
      </c>
      <c r="G26" s="28" t="n">
        <f aca="false">F26/B12</f>
        <v>2.07694123200378</v>
      </c>
      <c r="H26" s="29" t="n">
        <f aca="false">G26-1</f>
        <v>1.07694123200378</v>
      </c>
      <c r="I26" s="29" t="n">
        <f aca="false">G26^(1/C26)-1</f>
        <v>0.441159683034388</v>
      </c>
    </row>
    <row r="27" customFormat="false" ht="15" hidden="false" customHeight="false" outlineLevel="0" collapsed="false">
      <c r="A27" s="20" t="s">
        <v>101</v>
      </c>
      <c r="B27" s="23" t="s">
        <v>129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2.95020061364173</v>
      </c>
      <c r="H27" s="29" t="n">
        <f aca="false">G27-1</f>
        <v>1.95020061364173</v>
      </c>
      <c r="I27" s="29" t="n">
        <f aca="false">G27^(1/C27)-1</f>
        <v>0.434224651846131</v>
      </c>
    </row>
    <row r="28" customFormat="false" ht="30" hidden="false" customHeight="true" outlineLevel="0" collapsed="false">
      <c r="A28" s="18" t="s">
        <v>195</v>
      </c>
    </row>
    <row r="30" customFormat="false" ht="15" hidden="false" customHeight="false" outlineLevel="0" collapsed="false">
      <c r="A30" s="13" t="s">
        <v>103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88</v>
      </c>
      <c r="B31" s="3" t="s">
        <v>89</v>
      </c>
      <c r="C31" s="3" t="s">
        <v>90</v>
      </c>
      <c r="D31" s="3" t="s">
        <v>104</v>
      </c>
      <c r="E31" s="3" t="s">
        <v>93</v>
      </c>
      <c r="F31" s="3" t="s">
        <v>94</v>
      </c>
      <c r="G31" s="3" t="s">
        <v>95</v>
      </c>
      <c r="H31" s="3" t="s">
        <v>96</v>
      </c>
    </row>
    <row r="32" customFormat="false" ht="15" hidden="false" customHeight="false" outlineLevel="0" collapsed="false">
      <c r="A32" s="20" t="s">
        <v>97</v>
      </c>
      <c r="B32" s="23" t="s">
        <v>100</v>
      </c>
      <c r="C32" s="24" t="n">
        <v>2</v>
      </c>
      <c r="D32" s="5" t="s">
        <v>196</v>
      </c>
      <c r="E32" s="25" t="n">
        <v>190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-0.0529725523792433</v>
      </c>
    </row>
    <row r="33" customFormat="false" ht="23.85" hidden="false" customHeight="false" outlineLevel="0" collapsed="false">
      <c r="A33" s="20" t="s">
        <v>99</v>
      </c>
      <c r="B33" s="23" t="s">
        <v>100</v>
      </c>
      <c r="C33" s="24" t="n">
        <v>2</v>
      </c>
      <c r="D33" s="5" t="s">
        <v>197</v>
      </c>
      <c r="E33" s="25" t="n">
        <v>440</v>
      </c>
      <c r="F33" s="28" t="n">
        <f aca="false">E33/B12</f>
        <v>2.07694123200378</v>
      </c>
      <c r="G33" s="29" t="n">
        <f aca="false">F33-1</f>
        <v>1.07694123200378</v>
      </c>
      <c r="H33" s="29" t="n">
        <f aca="false">F33^(1/C33)-1</f>
        <v>0.441159683034388</v>
      </c>
    </row>
    <row r="34" customFormat="false" ht="15" hidden="false" customHeight="false" outlineLevel="0" collapsed="false">
      <c r="A34" s="20" t="s">
        <v>101</v>
      </c>
      <c r="B34" s="23" t="s">
        <v>129</v>
      </c>
      <c r="C34" s="24" t="n">
        <v>3</v>
      </c>
      <c r="D34" s="5" t="s">
        <v>198</v>
      </c>
      <c r="E34" s="25" t="n">
        <v>600</v>
      </c>
      <c r="F34" s="28" t="n">
        <f aca="false">E34/B12</f>
        <v>2.83219258909606</v>
      </c>
      <c r="G34" s="29" t="n">
        <f aca="false">F34-1</f>
        <v>1.83219258909606</v>
      </c>
      <c r="H34" s="29" t="n">
        <f aca="false">F34^(1/C34)-1</f>
        <v>0.414840861474137</v>
      </c>
    </row>
    <row r="35" customFormat="false" ht="15" hidden="false" customHeight="false" outlineLevel="0" collapsed="false">
      <c r="A35" s="13" t="s">
        <v>108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109</v>
      </c>
      <c r="B36" s="17" t="n">
        <f aca="false">AVERAGE(F26,E33)</f>
        <v>440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2.07694123200378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1.07694123200378</v>
      </c>
    </row>
    <row r="39" customFormat="false" ht="15" hidden="false" customHeight="false" outlineLevel="0" collapsed="false">
      <c r="A39" s="14" t="s">
        <v>110</v>
      </c>
      <c r="B39" s="31" t="n">
        <f aca="false">B37^(1/C26)-1</f>
        <v>0.441159683034388</v>
      </c>
    </row>
    <row r="40" customFormat="false" ht="15" hidden="false" customHeight="false" outlineLevel="0" collapsed="false">
      <c r="A40" s="14" t="s">
        <v>111</v>
      </c>
      <c r="B40" s="30" t="n">
        <f aca="false">MIN(G25,F32)</f>
        <v>0.896860986547085</v>
      </c>
      <c r="C40" s="30" t="n">
        <f aca="false">MAX(G27,F34)</f>
        <v>2.95020061364173</v>
      </c>
    </row>
    <row r="41" customFormat="false" ht="15" hidden="false" customHeight="false" outlineLevel="0" collapsed="false">
      <c r="A41" s="14" t="s">
        <v>112</v>
      </c>
      <c r="B41" s="30" t="n">
        <f aca="false">B36/B11</f>
        <v>2.01372997711671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199</v>
      </c>
    </row>
    <row r="45" customFormat="false" ht="15" hidden="false" customHeight="false" outlineLevel="0" collapsed="false">
      <c r="A45" s="2" t="s">
        <v>200</v>
      </c>
    </row>
    <row r="46" customFormat="false" ht="15" hidden="false" customHeight="false" outlineLevel="0" collapsed="false">
      <c r="A46" s="2" t="s">
        <v>201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2026-08-24T10:37:06Z</dcterms:created>
  <dc:creator>openpyxl</dc:creator>
  <dc:description/>
  <dc:language>en-US</dc:language>
  <cp:lastModifiedBy/>
  <dcterms:modified xsi:type="dcterms:W3CDTF">2026-08-24T10:37:06Z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